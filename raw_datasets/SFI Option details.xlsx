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defra-my.sharepoint.com/personal/james_peacock_defra_gov_uk/Documents/"/>
    </mc:Choice>
  </mc:AlternateContent>
  <xr:revisionPtr revIDLastSave="0" documentId="8_{0AB84A34-98B4-4E62-B246-C6D1EEA0B5AB}" xr6:coauthVersionLast="47" xr6:coauthVersionMax="47" xr10:uidLastSave="{00000000-0000-0000-0000-000000000000}"/>
  <bookViews>
    <workbookView xWindow="28680" yWindow="-120" windowWidth="29040" windowHeight="15720" xr2:uid="{ACAA4C76-C385-4995-A409-8D7BB488021E}"/>
  </bookViews>
  <sheets>
    <sheet name="SFI Option Data" sheetId="1" r:id="rId1"/>
    <sheet name="where" sheetId="5" r:id="rId2"/>
    <sheet name="what" sheetId="6" r:id="rId3"/>
    <sheet name="when" sheetId="7" r:id="rId4"/>
    <sheet name="Evidence" sheetId="3" r:id="rId5"/>
    <sheet name="other options" sheetId="4" r:id="rId6"/>
  </sheets>
  <externalReferences>
    <externalReference r:id="rId7"/>
  </externalReferences>
  <definedNames>
    <definedName name="_xlnm._FilterDatabase" localSheetId="4" hidden="1">Evidence!$C$1:$D$103</definedName>
    <definedName name="_xlnm._FilterDatabase" localSheetId="0" hidden="1">'SFI Option Data'!$A$1:$AX$103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3" i="1" l="1"/>
  <c r="AZ4" i="1"/>
  <c r="AZ5" i="1"/>
  <c r="AZ6" i="1"/>
  <c r="AZ7" i="1"/>
  <c r="AZ8" i="1"/>
  <c r="AZ9" i="1"/>
  <c r="AZ10" i="1"/>
  <c r="AZ11" i="1"/>
  <c r="AZ12" i="1"/>
  <c r="AZ13" i="1"/>
  <c r="AZ14" i="1"/>
  <c r="AZ15" i="1"/>
  <c r="AZ16" i="1"/>
  <c r="AZ17" i="1"/>
  <c r="AZ18" i="1"/>
  <c r="AZ19" i="1"/>
  <c r="AZ20" i="1"/>
  <c r="AZ21" i="1"/>
  <c r="AZ22" i="1"/>
  <c r="AZ23" i="1"/>
  <c r="AZ24" i="1"/>
  <c r="AZ25" i="1"/>
  <c r="AZ26" i="1"/>
  <c r="AZ27" i="1"/>
  <c r="AZ28" i="1"/>
  <c r="AZ29" i="1"/>
  <c r="AZ30" i="1"/>
  <c r="AZ31" i="1"/>
  <c r="AZ32" i="1"/>
  <c r="AZ33" i="1"/>
  <c r="AZ34" i="1"/>
  <c r="AZ35" i="1"/>
  <c r="AZ36" i="1"/>
  <c r="AZ37" i="1"/>
  <c r="AZ38" i="1"/>
  <c r="AZ39" i="1"/>
  <c r="AZ40" i="1"/>
  <c r="AZ41" i="1"/>
  <c r="AZ42" i="1"/>
  <c r="AZ43" i="1"/>
  <c r="AZ44" i="1"/>
  <c r="AZ45" i="1"/>
  <c r="AZ46" i="1"/>
  <c r="AZ47" i="1"/>
  <c r="AZ48" i="1"/>
  <c r="AZ49" i="1"/>
  <c r="AZ50" i="1"/>
  <c r="AZ51" i="1"/>
  <c r="AZ52" i="1"/>
  <c r="AZ53" i="1"/>
  <c r="AZ54" i="1"/>
  <c r="AZ55" i="1"/>
  <c r="AZ56" i="1"/>
  <c r="AZ57" i="1"/>
  <c r="AZ58" i="1"/>
  <c r="AZ59" i="1"/>
  <c r="AZ60" i="1"/>
  <c r="AZ61" i="1"/>
  <c r="AZ62" i="1"/>
  <c r="AZ63" i="1"/>
  <c r="AZ64" i="1"/>
  <c r="AZ65" i="1"/>
  <c r="AZ66" i="1"/>
  <c r="AZ67" i="1"/>
  <c r="AZ68" i="1"/>
  <c r="AZ69" i="1"/>
  <c r="AZ70" i="1"/>
  <c r="AZ71" i="1"/>
  <c r="AZ72" i="1"/>
  <c r="AZ73" i="1"/>
  <c r="AZ74" i="1"/>
  <c r="AZ75" i="1"/>
  <c r="AZ76" i="1"/>
  <c r="AZ77" i="1"/>
  <c r="AZ78" i="1"/>
  <c r="AZ79" i="1"/>
  <c r="AZ80" i="1"/>
  <c r="AZ81" i="1"/>
  <c r="AZ82" i="1"/>
  <c r="AZ83" i="1"/>
  <c r="AZ84" i="1"/>
  <c r="AZ85" i="1"/>
  <c r="AZ86" i="1"/>
  <c r="AZ87" i="1"/>
  <c r="AZ88" i="1"/>
  <c r="AZ89" i="1"/>
  <c r="AZ90" i="1"/>
  <c r="AZ91" i="1"/>
  <c r="AZ92" i="1"/>
  <c r="AZ93" i="1"/>
  <c r="AZ94" i="1"/>
  <c r="AZ95" i="1"/>
  <c r="AZ96" i="1"/>
  <c r="AZ97" i="1"/>
  <c r="AZ98" i="1"/>
  <c r="AZ99" i="1"/>
  <c r="AZ100" i="1"/>
  <c r="AZ101" i="1"/>
  <c r="AZ102" i="1"/>
  <c r="AZ103" i="1"/>
  <c r="AZ2" i="1"/>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3" i="5"/>
  <c r="G2" i="5"/>
</calcChain>
</file>

<file path=xl/sharedStrings.xml><?xml version="1.0" encoding="utf-8"?>
<sst xmlns="http://schemas.openxmlformats.org/spreadsheetml/2006/main" count="3468" uniqueCount="1237">
  <si>
    <t>Code</t>
  </si>
  <si>
    <t>Description</t>
  </si>
  <si>
    <t>duration</t>
  </si>
  <si>
    <t>Payment</t>
  </si>
  <si>
    <t>Pay Unit</t>
  </si>
  <si>
    <t>More_pay_info</t>
  </si>
  <si>
    <t>Aim</t>
  </si>
  <si>
    <t>Purpose</t>
  </si>
  <si>
    <t>where</t>
  </si>
  <si>
    <t>what</t>
  </si>
  <si>
    <t>when</t>
  </si>
  <si>
    <t>evidence</t>
  </si>
  <si>
    <t>other_options</t>
  </si>
  <si>
    <t>advice</t>
  </si>
  <si>
    <t>Land Type - Arable</t>
  </si>
  <si>
    <t>Land Type - Coastal</t>
  </si>
  <si>
    <t>Land Type - Farmyard</t>
  </si>
  <si>
    <t>Land Type - Grassland</t>
  </si>
  <si>
    <t>Land Type - Lowland Heath</t>
  </si>
  <si>
    <t>Land Type - Moorland and Upland</t>
  </si>
  <si>
    <t>Land Type - Scrub</t>
  </si>
  <si>
    <t>Land Type - Waterbodies</t>
  </si>
  <si>
    <t>Land Type - Wetland</t>
  </si>
  <si>
    <t>Land Type - Woodland</t>
  </si>
  <si>
    <t>Area of Interest - Agroforestry</t>
  </si>
  <si>
    <t>Area of Interest - Air quality</t>
  </si>
  <si>
    <t>Area of Interest - Boundaries</t>
  </si>
  <si>
    <t>Area of Interest - Crops</t>
  </si>
  <si>
    <t>Area of Interest - Equipment and machinery</t>
  </si>
  <si>
    <t>Area of Interest - Flood risk</t>
  </si>
  <si>
    <t>Area of Interest - Forestry</t>
  </si>
  <si>
    <t>Area of Interest - Hedgerows</t>
  </si>
  <si>
    <t>Area of Interest - Historic environment</t>
  </si>
  <si>
    <t>Area of Interest - Horticulture</t>
  </si>
  <si>
    <t>Area of Interest - Integrated pest management</t>
  </si>
  <si>
    <t>Area of Interest - Land features and archaeological features</t>
  </si>
  <si>
    <t>Area of Interest - Livestock management</t>
  </si>
  <si>
    <t>Area of Interest - Nutrient, manure and slurry management</t>
  </si>
  <si>
    <t>Area of Interest - Organic</t>
  </si>
  <si>
    <t>Area of Interest - Peat</t>
  </si>
  <si>
    <t>Area of Interest - Pollinators and wildlife</t>
  </si>
  <si>
    <t>Area of Interest - Precision farming</t>
  </si>
  <si>
    <t>Area of Interest - Priority habitats</t>
  </si>
  <si>
    <t>Area of Interest - Public access and education</t>
  </si>
  <si>
    <t>Area of Interest - Soil</t>
  </si>
  <si>
    <t>Area of Interest - Trees</t>
  </si>
  <si>
    <t>Area of Interest - Vegetation control</t>
  </si>
  <si>
    <t>Area of Interest - Water availability and storage</t>
  </si>
  <si>
    <t>Area of Interest - Water quality</t>
  </si>
  <si>
    <t>Option description</t>
  </si>
  <si>
    <t>OPTION_GROUP</t>
  </si>
  <si>
    <t>EXPANDED_OFFER_TYPE</t>
  </si>
  <si>
    <t>PAYMENT_RATE</t>
  </si>
  <si>
    <t>UOM</t>
  </si>
  <si>
    <t>VALID_FROM_DT</t>
  </si>
  <si>
    <t>VALID_TO_DT</t>
  </si>
  <si>
    <t>IS_CURRENT</t>
  </si>
  <si>
    <t>CLIG3</t>
  </si>
  <si>
    <t>Manage grassland with very low nutrient inputs</t>
  </si>
  <si>
    <t>3 years</t>
  </si>
  <si>
    <t>per hectare</t>
  </si>
  <si>
    <t>This action€™s aim is that there€™s grassland which produces a sward with: flowering grasses and wildflowers from late spring and during the summer months a variety of plant heights by autumn some covering of flowering grasses and wildflowers left to go to seed tussocky grass allowed to develop The purpose of this is to: provide nectar and shelter for invertebrates and a food supply for farmland birds support an integrated pest management approach if located close to cropped areas minimise nutrients being carried in surface water runoff to watercourses</t>
  </si>
  <si>
    <t>there€™s grassland which produces a sward with: flowering grasses and wildflowers from late spring and during the summer months a variety of plant heights by autumn some covering of flowering grasses and wildflowers left to go to seed tussocky grass allowed to develop T</t>
  </si>
  <si>
    <t>provide nectar and shelter for invertebrates and a food supply for farmland birds support an integrated pest management approach if located close to cropped areas minimise nutrients being carried in surface water runoff to watercourses</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</si>
  <si>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Temporary grassland Arable land TG01 Improved and low input permanent grassland Permanent grassland PG01 Eligibility of protected land Land or features with protection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Total available area in a land parcel, apart from if CIGL1 (take grassland field corners or blocks out of management) is located in the same land parcel. In this case CLIG3 can be on part of the available area. Rotational or static action This action is static. This means you must do it at the same location each year of this action€™s duration.</t>
  </si>
  <si>
    <t>You must minimise the use of nutrient inputs on the grassland entered into this action by applying no more than either: 12 tonnes per ha of cattle farmyard manure equivalent amounts of available nutrients as fertiliser or in other organic manures as an alternative to cattle farmyard manure You must also do the following on the grassland: graze it with livestock or cut it in a way that can reasonably be expected to achieve this action€™s aim minimise bare ground, so the soil is covered by vegetation and is not directly exposed to the elements There must be an intact grass sward throughout the year, without compacted areas or poaching.€¯You can carry out supplementary feeding of livestock on the grassland, but you must make sure this does not cause poaching. You must not do the following on the grassland: apply digestate or any other industrial by-product, including paper waste carry out mechanical activities, including hay and silage cutting, in a way that may disturb breeding birds or damage nests as birds, nests and eggs are protected by law carry out drainage works plough, cultivate or re-seed it apply pesticides, except for herbicides to weed wipe or spot treat to control injurious weeds , invasive non-native species , or nettles allow areas of scrub to develop on land with historic or archaeological features If you cut the grassland for conserved forage, you must: not graze or cut it for a continuous period of at least 7 weeks during the spring and summer months before taking the forage cut, to allow the sward to develop flowering grasses and wildflowers in each land parcel, leave an uncut margin around the edge of the area entered into this action when it€™s cut for conserved forage, to help provide shelter for invertebrates After you€™ve cut the area for conserved forage, you must manage it in a way that can reasonably be expected to achieve this action€™s aim. If you€™re already managing grassland with very low nutrient inputs, you can use it to get paid for this action if it: meets this action€™s requirements is not already being paid for under another environmental land management scheme agreement option, such as Countryside Stewardship ( CS ) option GS2 (permanent grassland with very low inputs (outside SDAs )) or GS5 (permanent grassland with very low inputs ( SDAs ))</t>
  </si>
  <si>
    <t>You must do this action each year of its 3-year duration.</t>
  </si>
  <si>
    <t>You must keep evidence to show what you€™ve done to complete this action, such as: field operations at a land parcel level and associated invoices photographs or other documentation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</si>
  <si>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OFC1, OFC2, OFM1, OFM2, AGF1, AGF2, PRF2, CIPM1, CNUM1, CSAM1 SFI 2023 actions IPM1, NUM1, SAM1 CS options OR1, OR2, OT1, OT2, SW15, SW16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one of the following supplemental actions (unless indicated otherwise) on land entered into this base action: GRH7: Hay making supplement you can also do GRH11 on the same area as GRH7 GRH8: Hay making supplement (late cut) you can also do GRH11 on the same area as GRH8 GRH10 (lenient grazing supplement) GRH11: Cattle grazing supplement (non-moorland) you can also do GRH7 or GRH8 on the same area as GRH11 SPM2: Keep native breeds on grazed habitats supplement (50-80%) SPM3: Keep native breeds on grazed habitats supplement (more than 80%)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</si>
  <si>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Minimising your use of nutrients To help you plan how to manage the grassland with very low nutrient inputs, you may find it helpful to do CNUM1 (assess nutrient management and produce a review report). If you€™re already managing the grassland with very low nutrient inputs (below the thresholds required by this action), try not to increase inputs above your current levels. To get the most environmental benefits, you can choose to remove all nutrient inputs. You can use well-rotted farmyard manure to replace nutrients lost by cutting and removing hay or haylage. Make sure you follow the farming rules for water . These require you to take steps to stop manure, fertiliser or soil getting into waterbodies and watercourses. Managing grassland It€™s up to you how you graze or cut the grassland, as long as it: meets this action€™s requirements is done in a way that can reasonably be expected to achieve this action€™s aim Grazing with livestock If you€™re grazing the grassland (and not cutting it for conserved forage), you can do the following to help you achieve this action€™s aim: start grazing the area when the average sward height is around 10-12 centimetres (cm) try to maintain an average sward height of around 5cm, with a mix of taller and shorter heights remove livestock when the average sward height falls below around 5cm use paddock grazing or temporary electric fencing to manage grazing on different parts of the fields - sward productivity may deteriorate over time, so rotating areas can help with this You can increase the benefits for wildlife by leaving a longer sward through the summer and following winter. For example, you can maintain a higher average sward height of around 8cm or more, with: some taller areas (over 10cm tall), to provide invertebrate habitat and let plants flower and set seed some shorter areas (less than 10cm tall), to make it easier for birds to find food To find out more about measuring swards and planning how to manage grazing, read AHDB €™s guidance on planning grazing strategies for better returns . Cutting the grassland If you€™re cutting the grassland, but it€™s not for conserved forage, you can do the following to help you achieve this action€™s aim: vary the cutting dates and height of each cut this will create a range of cut and uncut sward heights if you€™re not grazing the grassland, vary the cutting height within each area to avoid leaving large blocks at a uniform height If possible, you can remove the cut vegetation to help: reduce the risk of it smothering grass species remove nutrients, which can prevent weeds from growing If it€™s impractical to remove the cut vegetation, you can leave finely chopped cuttings, spread as thinly as possible. If you€™re cutting the grassland for conserved forage, you can do this after the plants have flowered and set seed. This will usually mean cutting from around either: the end of June in lowland areas (outside severely disadvantaged areas) mid-July in upland areas, where the grass growth is often slower Before cutting, check for signs of nesting birds. Birds, nests and eggs are protected by law, so if you see signs of nesting birds, delay cutting until the birds fledge. After you have cut for conserved forage, you can graze the aftermath or take a second cut in late summer or early autumn and remove the cuttings. How to minimise bare ground and compaction To minimise bare ground and reduce the risk of compacted areas or poaching, you can consider doing some or all of the following, as relevant: remove livestock or reduce numbers when the ground is wet move feeders and temporary water troughs (when weather and ground conditions allow) to manage the way livestock move around the area remove heavier livestock (such as cattle) in the winter supplementary feed livestock on drier fields (avoiding areas with historic or archaeological features) ideally scatter feed on the ground rather than concentrating livestock around feeders avoid cutting the grassland for forage if the weather is wet avoid using machinery on saturated ground</t>
  </si>
  <si>
    <t>CLIG3 - Manage grassland with very low nutrient inputs - outside SDAs or within SDAs</t>
  </si>
  <si>
    <t>STANDARD</t>
  </si>
  <si>
    <t>Hectare (ha)</t>
  </si>
  <si>
    <t>CSAM3</t>
  </si>
  <si>
    <t>Herbal leys</t>
  </si>
  <si>
    <t>This action€™s aim is that there€™s an established herbal ley with: a mixture of grasses, legumes and herbs or wildflowers to provide varied root structures areas of flowering plants from late spring and during summer months The purpose of this is to: produce a high volume of forage with minimal use of inorganic fertiliser improve resilience to drought help improve and maintain the soil€™s structure, carbon, biology and fertility</t>
  </si>
  <si>
    <t>there€™s an established herbal ley with: a mixture of grasses, legumes and herbs or wildflowers to provide varied root structures areas of flowering plants from late spring and during summer months T</t>
  </si>
  <si>
    <t xml:space="preserve"> produce a high volume of forage with minimal use of inorganic fertiliser improve resilience to drought help improve and maintain the soil€™s structure, carbon, biology and fertility</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</si>
  <si>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Arable land used to grow crops Arable land Land use codes for arable crops or leguminous and nitrogen-fixing crops Temporary grassland Arable land TG01 Arable land lying fallow Arable land FA01 Improved permanent grassland Permanent grassland PG01 Eligibility of protected land Protected land Eligibility Sites of special scientific interest ( SSSIs ) Ineligible you must not enter any area that€™s designated as an SSSI into this action Historic and archaeological features Ineligible you must not enter any area with an historic or archaeological feature into this action. This only affects the area where the feature is located in a land parcel. You can apply for this action on the remaining area in the land parcel if it€™s eligible. Available area you can enter into this action Total or part of the available area in a land parcel. Rotational or static action This action is rotational or static. This means you can either: move its location for the second and third year of this action€™s rotation do it at the same location each year of this action€™s duration</t>
  </si>
  <si>
    <t>You must establish an herbal ley with a mixture of grass, legumes and herbs on land entered into this action. You must use a seed mix which includes all of the following (as a minimum): 1 grass species 2 legume species 2 herb or wildflower species If you€™re establishing an herbal ley on land identified by you as being at risk of soil erosion or runoff, you must use establishment techniques which minimise the risk of soil erosion or runoff. You can use the soil management plan produced for CSAM1 (or SAM1) to identify this land. See action CSAM1 for more information. Once the herbal ley is established, you must maintain it. To do this you must manage it in a way, and for a period of time, that can reasonably be expected to achieve this action€™s aim. You must minimise use of inorganic fertilisers containing nitrogen. Usually, this will be no more than around 40 kilograms (kg) of nitrogen per ha per year. You must not use the established herbal ley for storage or apply pesticides on it, except: for herbicides to weed wipe or spot treat to control injurious weeds , invasive non-native species , or nettles to destroy the existing ley to establish a new herbal ley You can maintain an existing herbal ley to get paid for this action if it: meets this action€™s requirements you may need to re-sow it to make sure it can reasonably be expected to achieve this action€™s aim is not already being paid for under another environmental land management scheme option, such as Countryside Stewardship ( CS ) option GS4 (legume and herb-rich swards)</t>
  </si>
  <si>
    <t>You must: establish the herbal ley by early autumn, within 12 months of this action€™s start date maintain the herbal ley at the same location for a period of time that can reasonably be expected to achieve this action€™s aim this will usually be until the end of the second summer after sowing re-establish the herbal ley by early autumn (either at the same location or a different location) and maintain it until this action€™s end date</t>
  </si>
  <si>
    <t>You must keep evidence to show what you€™ve done to complete this action, such as: field operations at a land parcel level and associated invoices, including details of the seed mix used photographs or other documentation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</si>
  <si>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OFC1, OFC3, OFM1, OFM4, AGF1, AGF2, CIPM1, CNUM1, PRF1, PRF2, PRF3, CSAM1 SFI 2023 actions IPM1, NUM1, SAM1 CS options OR1, OR3, OT1, OT3 ES options No ES revenue options SFI pilot standards No area 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</si>
  <si>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a seed mix This action explains the minimum requirement for species in the seed mix (under €˜What to do€™). If you want to grow a high-quality herbal ley (which goes beyond the basic requirements of this action), the seed mix will usually include at least: 5 grass species, such as cocksfoot, festulolium, meadow fescue, perennial ryegrass, smooth-stalked meadow grass, tall fescue and timothy 4 legume species, such as alsike clover, bird€™s-foot-trefoil, lucerne, red clover, sainfoin winter vetch and common vetch, and black medickand white cover 4 herb species, such as burnet, chicory, ribwort plantain, salad burnet, sheep€™s parsley and yarrow Try to avoid a mix of festulolium and perennial ryegrass making up more than 70% by weight of the total seed mix. Your seed supplier can help you choose a seed mix that is the best match for your land, local conditions and how you€™ll manage the ley. How to maintain herbal leys You can maintain herbal leys by grazing them with livestock or cutting them (or both). To help achieve this action€™s aim, you can rest the herbal leys from grazing or cutting for around at least 5 consecutive weeks between early May and late July. This will allow flowers to open and provide a source of pollen and nectar for insects. It can take up to 4 years for the roots to grow enough to improve soil structure and fertility. You may find it helpful to read the Agriculture and Horticulture Development Board ( AHDB ) guidance on herbal leys .</t>
  </si>
  <si>
    <t>CSAM3 - Herbal leys</t>
  </si>
  <si>
    <t>GRH6</t>
  </si>
  <si>
    <t>Manage priority habitat species-rich grassland (endorsed)</t>
  </si>
  <si>
    <t>5 years</t>
  </si>
  <si>
    <t>This action€™s aim is that there€™s priority habitat species-rich grassland with: a good cover of flowering grasses and wildflowers from late spring and during the summer months, including 4 frequently occurring and 2 occasionally occurring €˜indicator€™ species typical of your type of priority habitat grassland a variety of plant heights appropriate for your type of priority habitat grassland by autumn enough flowering grasses and wildflowers left to go to seed to maintain or increase the presence and abundance of €˜indicator€™ plant species typical of your type of priority habitat grassland scattered areas of scrub and rushes, as appropriate for your type of priority habitat grassland any historic or archaeological features left undamaged The purpose of this is to: maintain and improve the biodiversity of priority habitat grassland increase the number and frequency of important plant species benefit priority species, such as bumblebees, butterflies, birds or bats protect historic or archaeological features, where present on the land</t>
  </si>
  <si>
    <t>there€™s priority habitat species-rich grassland with: a good cover of flowering grasses and wildflowers from late spring and during the summer months, including 4 frequently occurring and 2 occasionally occurring €˜indicator€™ species typical of your type of priority habitat grassland a variety of plant heights appropriate for your type of priority habitat grassland by autumn enough flowering grasses and wildflowers left to go to seed to maintain or increase the presence and abundance of €˜indicator€™ plant species typical of your type of priority habitat grassland scattered areas of scrub and rushes, as appropriate for your type of priority habitat grassland any historic or archaeological features left undamaged T</t>
  </si>
  <si>
    <t xml:space="preserve"> maintain and improve the biodiversity of priority habitat grassland increase the number and frequency of important plant species benefit priority species, such as bumblebees, butterflies, birds or bats protect historic or archaeological features, where present on the land</t>
  </si>
  <si>
    <t>You must get written approval (€˜endorsement€™) before you can include this action in your SFI agreement. Read section 1.2 €˜ SFI actions which require endorsement€™ in the SFI scheme information to find out how to get endorsement. You can do this action on agricultural land located below the moorland line that€™s: endorsed as being suitable for this action read €˜How endorsement works for this action€™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Species-rich permanent grassland Permanent grassland PG01 Species-poor permanent grassland* Permanent grassland PG01 Arable land used to grow crops* Arable land Land use codes for arable crops or leguminous and nitrogen-fixing crops Temporary grassland* Arable land TG01 Arable land lying fallow* Arable land FA01 *only on land where you€™re restoring or creating priority habitat species-rich grassland How endorsement works for this action The required endorsement for this action will be done by either: a Natural England adviser an adviser approved by Natural England to act on their behalf To endorse this action, the adviser will check that the land you want to do the action on is one of the following: already priority habitat species-rich grassland it does not need to be mapped on the Priority Habitat Inventory (PHI) has potential for the restoration or creation of priority habitat species-rich grassland For the purposes of this action, types of €˜priority habitat species-rich grassland€™ include: lowland calcareous grassland lowland dry acid grassland lowland meadows upland hay meadows purple moor-grass and rush pasture The adviser may contact you to visit your land to endorse this action. If you€™re intending to restore or create priority habitat species-rich grassland, you must provide the adviser with a map and soil analysis for the land before the visit. Your map must show the location of either: the species-poor permanent grassland which you want to restore to priority habitat species-rich grassland the arable land, temporary grassland or land lying fallow where you want to create priority habitat species-rich grassland To allow the adviser to confirm whether your land has good potential for the introduction of wildflowers, your soil analysis must: include the soil available phosphorus (using the €˜Olsen P€™ test) have been carried out within the last year, or within the last 5 years if there have been no fertiliser applications or increase in stocking levels since the last soil analysis Read Natural England€™s guidance on €˜soil sampling for habitat recreation and restoration€™ to find out how to carry out this soil analysis. Eligibility of protected land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Total or part of the available area in a land parcel. Rotational or static action This action is static. This means you must do it at the same location each year of this action€™s duration.</t>
  </si>
  <si>
    <t>You must manage the land entered into this action in a way that can reasonably be expected to maintain either: existing priority habitat species-rich grassland priority habitat species-rich grassland you€™re restoring or creating To do this, you must do the following on the area entered into this action: graze it with livestock or cut it, or a combination of both, in a way that can reasonably be expected to achieve this action€™s aim on your type of priority habitat species-rich grassland read the €˜advice to help you do this action€™ to find out which €˜indicator€™ species and vegetation heights are typical for each type of priority habitat species-rich grassland make sure there€™s an intact grass sward throughout the year, without compacted areas or poaching minimise bare ground, so the soil is covered by vegetation and is not directly exposed to the elements manage scrub and soft and hard rushes on the area in each land parcel entered into this action in a way that can reasonably be expected to achieve this action€™s aim on your type of priority habitat species-rich grassland read the €˜advice to help you do this action€™ to find out what€™s appropriate for your type of species-rich grassland maintain a continuous sward on any historic and archaeological features, with minimal scrub, bracken and bare ground if you cut the sward, you must avoid damaging the features In years when you cut the area for hay or haylage, you must: not graze the area for a continuous period of at least 8 weeks during the spring and summer months before you harvest the hay or haylage crop this is to allow flowering grasses and wildflowers to develop harvest the hay or haylage crop after enough flowering grasses and wildflowers have set seed to reasonably achieve this action€™s aim in the majority of cases, this will usually be mid to late July (but you must not cut it earlier than the end of June on land outside severely disadvantaged areas ( SDAs ) or mid-July on land in an SDA ) in each land parcel, leave an uncut margin around the edge of the area entered into this action to provide shelter for invertebrates and small mammals apply no more than 6 tonnes per ha per year (or no more than 12 tonnes per ha every 2 years) of cattle, sheep or horse farmyard manure you must not increase your application rate if it€™s currently less than this If, in a particular year, you believe that you have an exceptional case to cut earlier than the end of June or mid-July (as relevant), and the timing can still reasonably be expected to achieve this action€™s aim, you must: notify the Rural Payments Agency ( RPA ) about this in writing before you cut the area use €˜ SFI GRH6 early cutting€™ as the subject heading supply evidence with your written notification to show how the timing of the cutting can still reasonably be expected to achieve this action€™s aim the RPA may review this evidence if they check you€™re complying with your SFI agreement For such exceptional cases, you can cut the area for hay or haylage once you€™ve notified the RPA and supplied the required evidence. You must not do the following on the area entered into this action: plough, cultivate or reseed it, unless you€™re restoring or creating priority habitat species-rich grassland (as confirmed in this action€™s written endorsement) carry out supplementary feeding, except for mineral blocks carry out mechanical activities, including hay and haylage cutting, in a way that may disturb breeding birds or damage nests apply digestate or any other industrial by-product, including paper waste apply inorganic fertiliser or manures, apart from cattle, sheep or horse farmyard manure in years when the land is cut for hay or haylage apply pesticides, except for herbicides to weed wipe or spot treat to control injurious weeds , invasive non-native species , or nettles unless the use of herbicides will affect wildflowers in the sward damage any archaeological or historic features carry out drainage works, including modifying existing drainage top more than half of the total area, except in patches to control injurious weeds, invasive species, bracken or areas dominated by rushes</t>
  </si>
  <si>
    <t>You must do this action each year of its 5-year duration.</t>
  </si>
  <si>
    <t>You must keep evidence to show what you€™ve done to complete this action, such as: field operations at a land parcel level and associated invoices photographs and other documentation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</si>
  <si>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CSAM1, CNUM1, CIPM1, OFC2, OFM2 SFI 2023 actions IPM1, NUM1, SAM1 CS options OR2, OT2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one of the following supplemental actions (unless indicated otherwise) on land entered into this base action: GRH7: Hay making supplement you can also do GRH11 on the same area as GRH7 GRH8: Hay making supplement (late cut) you can also do GRH11 on the same area as GRH8 GRH11: Cattle grazing supplement (non-moorland) you can also do GRH7 or GRH8 on the same area as GRH11 SPM2: Keep native breeds on grazed habitats supplement (50-80%) SPM3: Keep native breeds on grazed habitats supplement (more than 80%)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</si>
  <si>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Managing species-rich grassland To help you achieve this action€™s aim, the way you manage each type of species-rich grassland will be different. This is so there€™s the appropriate variety of plant heights and sward structure for: its plant community including the number and frequency of €˜indicator€™ species typical to the type of species-rich grassland the invertebrate species usually found on the type of species-rich grassland Grazing with livestock will benefit most species-rich grassland and is usually needed to manage it. Read €˜Grazing with livestock€™ for more information. Where grazing is not possible or practical, you can: cut patches of the grassland at different heights and times of the year, so there are areas of cut and uncut vegetation remove the cuttings to keep the nutrient levels low - this can help maintain a wider range of flowering plants Where your species-rich grassland is already managed as a hay meadow or has traditionally been a hay meadow, you can continue to cut it for hay. Read €˜Cutting hay meadows€™ for more information. Without regular grazing or cutting, coarse grasses and scrub will smother the wildflowers in the species-rich grassland. Before cutting, check for signs of nesting birds. Birds, nests and eggs are protected by law , so if you see signs of nesting birds, delay cutting until the birds fledge. For more information on managing different types of species-rich grassland, you may find it helpful to read Buglife€™s guidance on: lowland calcareous grassland lowland dry acid grassland lowland meadows upland hay meadows purple moor grass and rush pastures You can also read Natural England€™s illustrated guides to: lowland chalk and limestone grassland purple moor grass and rush pasture managing historic environment features Grazing with livestock Grazing your species-rich grassland with cattle will create a mix of vegetation heights, as they graze less evenly than sheep. Cattle also usually disturb the ground more with their hooves. This can help to create small areas of bare ground where: wildflower seeds can germinate invertebrates can warm up and burrow Grazing with sheep or native ponies can be useful on some types of species-rich grassland where there needs to be short vegetation. For example, lowland dry acid grassland. You may find it helpful to use a rotational grazing system so: there are areas where plants can flower and set seed you avoid overgrazing, which can destroy plant communities You may need to: manage the grazing of the species-rich grassland flexibly in response to seasonal variations in vegetation growth, so there€™s an appropriate sward height and structure for your type of species-rich grassland remove livestock for a period in spring or summer to allow plants to flower and set seed you can start grazing again once most plants have flowered and set seed Cutting hay meadows You can cut your hay meadow once flowering grasses and wildflowers have developed and set seed. After you€™ve cut the hay or haylage crop and removed it, you can graze the aftermath. You can do this until the ground becomes too damp (usually around early November), when the risk of poaching is likely to increase. Typical €˜indicator€™ species for the type of priority habitat species-rich grassland See a list of the typical €˜indicator€™ species for each type of priority habitat species-rich grassland . Checking how often the €˜indicator€™ species occur To assess how frequently the €˜indicator€™ species occur on your species-rich grassland you can: do a W-shaped walk across the area stop at regular intervals or random points along the W-shape each time you stop, look at the vegetation within a square metre in front of you and write down which indicator species you see For most habitats, stopping around 10 times is enough. For very large blocks of similar vegetation, you may need to stop around 20 times. You may find it helpful to use a handheld global positioning system (GPS) to record the location of your stops. The indicator species will usually be: €˜frequently occurring€™ if you see it at 5 or more stops out of 10 €˜occasionally occurring€™ if you see it at 3 or 4 stops out of 10 Lowland calcareous grassland: appropriate variety of plant heights To help you achieve this action€™s aim on lowland calcareous grassland, you can graze it lightly: in the summer, so there€™s a mixture of short and taller vegetation to allow as many plants as possible to flower and set seed the average sward height will usually be between around 5 centimetres (cm) and 15 cm in the autumn or winter (or both) to remove rank vegetation, so smaller plants are not swamped in the following year If the grassland is parched and lichen dominated, you can graze it throughout the year to maintain a short sward height (usually around 5cm or less). Lowland dry acid grassland: appropriate variety of plant heights To help you achieve this action€™s aim on lowland dry acid grassland, you can graze it lightly throughout the year to maintain: a short sward height (usually around 5cm or less) areas of taller vegetation, such as tussocky grasses, as these can support invertebrates Lowland meadows: appropriate variety of plant heights To help you achieve this action€™s aim on lowland meadows, you can graze lightly: throughout the summer (except when fields are shut up for a cut of hay), so there€™s a mixture of short and taller vegetation the average sward height will usually be between around 5cm and 15cm through late summer and autumn to remove rank vegetation, so the sward height by winter means smaller plants are not swamped in the following year - the average sward height will usually be between around 5cm and 10cm Upland hay meadows: appropriate variety of plant heights To help you achieve this action€™s aim on upland hay meadows, you can graze lightly: in spring (before fields are shut up for a cut of hay) to maintain a shorter sward height (usually around at least 5cm) after hay cutting, to graze the aftermath so there€™s a mixture of short and taller vegetation the average sward height will usually be between around 5cm and 10cm Purple moor grass and rush pasture: appropriate variety of plant heights To help you achieve this action€™s aim on purple moor grass and rush pasture you can graze it with cattle to: provide a mix of medium to tall vegetation (for example, with an average sward height of around 8cm to 25cm by winter) avoid a uniform, short sward, which may be the case if you graze with sheep Managing scrub on different types of species-rich grassland You can manage scrub encroachment by grazing. You may need to cut the grassland to manage scrub encroachment if grazing does not maintain scattered areas of scrub. Try to do this between October and February to avoid disturbing nesting birds. The appropriate level for scattered areas of scrub cover will vary in different types of species-rich grassland. On lowland calcareous grassland or lowland dry acid grassland, you can manage scrub so there are small, scattered areas covering between around 5% and 10% of the field. On lowland meadows (which are not cut for hay) and purple moor-grass and rush pasture, you can manage scrub so there: is less than around 5% in-field cover are ditches (where present) which are largely open and unshaded by scrub or tall vegetation On lowland meadows cut for hay or upland hay meadows, scrub cover ideally needs to be around the edges of the field. Managing soft and hard rushes on different types of species-rich grassland You may need to manage soft and hard rushes if their tussocks become too dense and you see a high increase of rushes. Left unmanaged, they can: prevent the growth of other vegetation reduce the grazing value of your field The appropriate level of soft and hard rush cover will vary in different types of species-rich grassland. 
For example, you can manage soft and hard rushes on: damp species-rich meadows, including purple moor-grass and rush pasture, so they cover no more than around 25% of the field most other types of species-rich grassland so they cover no more than around 10% of the field You can cut rushes or combine cutting with aftermath grazing. 
Try to cut the rushes: before they set seed (after ground nesting birds have fledged) as close to the ground as possible at least once a year to reduce vigour you can graze them before cutting to reduce the amount of cut material (unless the field is a hay meadow) If there is regrowth during the autumn, you can either: cut a second time before the end of the growing season if the field is not too wet use livestock to graze it cattle are usually best, as sheep may not graze rush Managing weeds, nettles and bracken Try to control injurious weeds, invasive non-native weeds, nettles and bracken so they cover no more than around 5% of your species-rich grassland. Ideally, manage non-native weeds and nettles by cutting, hand pulling and grazing. You can manage bracken by cutting or bruising, including forage harvesting where the litter layer is partially removed. This leaves bracken fronds susceptible to frosts and livestock trampling. If you need to use herbicides, it will help you to apply them to target weed species if you: use weed wiping or spot treating equipment correctly graze down the wildflowers and grasses so you can treat the weeds without touching the non-target plants Restoring or creating species-rich grassland For this action, you can manage priority habitat species-rich grassland you€™re restoring or creating. You can restore existing: priority habitat grassland that is in poor condition for example, by restoring the natural hydrology removing scrub, controlling rushes, changing grazing and cutting management species-poor permanent grassland by sowing wildflower seed You can create species-rich grassland on arable land or temporary grassland by introducing wildflower seed. You may need a feasibility study or implementation plan to restore or create species-rich grassland. You can apply for capital grants for this and other activities such as: sowing seed removing scrub managing water levels Choosing a site to restore or create species-rich grassland Sites with high or medium potential to create or restore species-rich grassland will ideally: have infertile soils, with low levels of soil available phosphate (index 0 or 1) you can find this out by soil testing and analysis have minimal weeds, such as black-grass, couch grass or creeping thistle) not be dominated by aggressive plant species, such as white clover, ryegrass, creeping buttercup and Yorkshire fog Try to avoid sites which have species which could be harmed by restoring or creating species-rich grassland. For example, if there are rare arable plants or farmland birds which need the land to be managed in a different way. If this is the case, it€™s likely to be more appropriate to restore or create the grassland somewhere else on your farm. To manage the species-rich grassland you€™re creating or restoring, you€™ll need to have: livestock available to graze the site the potential for hay cutting if it€™s a hay meadow To help you carry out the required soil analysis if you€™re restoring or creating species-rich grassland, you may find it helpful to read Natural England€™s guidance on: selecting suitable sites for sward enhancement on species-poor grassland soil sampling for habitat recreation and restoration how to interpret of soil analysis results</t>
  </si>
  <si>
    <t>GRH6 - Manage priority habitat species-rich grassland</t>
  </si>
  <si>
    <t>STANDARD WITH ENDORSEMENT</t>
  </si>
  <si>
    <t>CSAM1</t>
  </si>
  <si>
    <t>Assess soil, produce a soil management plan and test soil organic matter</t>
  </si>
  <si>
    <t xml:space="preserve"> and £97 per SFI agreement per year</t>
  </si>
  <si>
    <t>This action€™s aim is that you: understand the condition of your soil effectively plan how to increase the long-term health, productivity, and resilience of your soil</t>
  </si>
  <si>
    <t>you: understand the condition of your soil effectively plan how to increase the long-term health, productivity, and resilience of your soil</t>
  </si>
  <si>
    <t>N/A</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</si>
  <si>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For land above the moorland line, you can do CMOR1 to complete a survey to identify, assess and record the soil, vegetation and historic and archaeological features. Eligible land Eligible land type Eligible land cover Compatible land use code Arable land used to grow crops Arable land Land use codes for arable crops or leguminous and nitrogen-fixing crops Temporary grassland Arable land TG01 Arable land lying fallow Arable land FA01 Permanent grassland improved and low input Permanent grassland PG01 Permanent crops horticultural and non-horticultural Permanent crops Land use codes for permanent crops Eligibility of protected land Protected land Eligibility Sites of special scientific interest ( SSSIs ) Eligible you do not need to get SSSI consent for this action Historic and archaeological features Eligible you must get a SFI HEFER before you do this action (read section 5.6€¯€˜Land with historic or archaeological features€™ in the SFI scheme information to find out how to do this) Available area you can enter into this action Total available area in a land parcel. Rotational or static action This action is static. This means you must do it at the same location each year of this action€™s duration.</t>
  </si>
  <si>
    <t>You must: assess the soil for all the land parcels entered into this action and produce a written soil management plan which covers that land test the soil organic matter ( SOM ) on all the land parcels entered into this action within the last 5 years You can use the following to get paid for this action: an existing soil management plan that was written in the last 12 months, informed by a soil assessment existing SOM test results that are not more than 5 years old To test the SOM for small land parcels, you can combine them into a single sample area if the soil type and past management is similar. This means you can take soil from each land parcel and combine it into a single sample to test the SOM . If you need to take soil samples on areas within a land parcel containing historic or archaeological features, including scheduled monuments, you must follow the requirements explained in section 5.6: €˜Land with historic or archaeological features€™ in the SFI scheme information. To help improve national data on the condition of England€™s soils, Defra or the RPA may ask you to provide some information about your soil assessment and SOM testing results during this action€™s 3-year duration. This data is one of the public goods that this action is paying for and part of wider government measures in relation to our soils policy and strategy. We€™ll publish guidance on GOV.UK about what information is needed and how to supply it.</t>
  </si>
  <si>
    <t>For the soil assessment and soil management plan, you must: complete the soil assessment and produce the written soil management plan within 12 months of this action€™s start date review the soil management plan in each subsequent year of this action€™s 3-year duration, adding any new soil analyses For the SOM testing, each year of this action€™s 3-year duration you must: make sure you€™ve tested the SOM on all the land parcels entered into this action within the last 5 years retest that land if your existing SOM test results reach 5 years old If the timing meets the requirements above, you can do the SOM testing at the same time as your other routine soil testing required in the farming rules for water. If you enter land into this action which has not been tested for SOM within the last 5 years, you should try to do the SOM testing on that land during the first 12 months of your SFI agreement. If the laboratory that tests your soil samples does not have capacity to do the tests during the first 12 months of this action€™s duration, you must: get the tests done as soon as possible make sure you€™ve tested the SOM on all of these land parcels within the last 5 years by the end of your SFI agreement keep evidence of why it was not possible to complete the tests in the first 12 months, so you can provide it to us if we ask for it</t>
  </si>
  <si>
    <t>You must keep: the written record of your soil management plan, including your soil assessment the SOM test results You must supply this evidence when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</si>
  <si>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CSAM2, CSAM3, SOH1, SOH2, SOH3, SOH4, CAHL1, CAHL2, CAHL3, AHW1, AHW3, AHW4, AHW5, AHW6, AHW7, AHW8, AHW9, AHW10, AHW11, AHW12, CIGL1, CIGL2, CIGL3, GRH1, GRH6, HEF5, HEF6, CAHL4, CLIG3, BFS1, BFS2, BFS3, BFS4, BFS5, BFS6, OFC1, OFC2, OFC3, OFC4, OFC5, OFM1, OFM2, OFM4, OFM5, OFM6, OFA1, OFA6, WBD3, WBD4, WBD5, WBD6, WBD7, WBD8, AGF1, AGF2, PRF1, PRF2, PRF3, PRF4, CIPM1, CIPM2, CIPM3, CIPM4, CNUM1, CNUM2, CNUM3, SCR1, SCR2 SFI 2023 actions AHL1, AHL2, AHL3, AHL4, IGL1, IGL2, IGL3, IPM1, IPM2, IPM3, IPM4, LIG1, LIG2, NUM1, NUM2, NUM3, SAM2, SAM3 CS options AB1, AB2, AB3, AB5, AB6, AB7, AB8, AB9, AB10, AB11, AB13, AB14, AB15, AB16, BE1, BE2, BE4, BE5, GS1, GS2, GS3, GS4, GS5, GS6, GS7, GS8, GS9, GS10, GS11, GS12, GS13, GS14, HS3, HS4, HS7, HS9, CT1, CT2, CT3, CT4, CT5, CT7, LH1, LH2, LH3, WT6, WT7, WT8, WT9, WT10, OP1, OP2, OP4, OP5, OR1, OR2, OR3, OR4, OR5, OT1, OT2, OT3, OT4, OT5, SW1, SW2, SW3, SW4, SW5, SW6, SW7, SW8, SW9, SW10, SW12, SW13, SW15, SW16, SW17, SW18, WT1, WT2, UP2 (if located below the moorland line) ES options All ES revenue options SFI pilot standards SFI pilot arable and horticultural land  standard all levels SFI pilot improved grassland standard all levels SFI pilot low and no input grassland standard all levels SFI pilot water body buffering standard all levels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all levels of the SFI pilot hedgerows standard</t>
  </si>
  <si>
    <t xml:space="preserve"> Completing a soil assessment To help you understand the condition of your soil, you€™ll usually need to assess: soil type this includes sand, silt, clay, loam, chalk and peat (read the Agriculture and Horticulture Development Board ( AHDB ) guidance on characteristics of different soils for more information) soil texture this is the mix of sand, silt and clay in the soil (read Natural England€™s Technical Information Note about soil texture for more information) soil structure this is how the soil particles (sand, silt, clay, and organic matter) are held together soil biology this includes the number of earthworms, levels of organic matter, and microbial activity risk of surface runoff and soil erosion Spring or autumn are often the best time to assess your land parcels (fields) and take soil samples, when the soil is not too dry or too wet. Where possible, avoid taking soil samples on any area of land with historic or archaeological features identified on your SFI HEFER . If you need to take soil samples, read section 5.6 €˜Land with historic or archaeological features€™ in the SFI scheme information before doing so. You can find out more about assessing your soil in the following guidance: the Environment Agency€™s €˜think soils€™ practical guide to soil assessment the AHDB €™s soil health scorecard the National Institute of Agricultural Botany (NIAB) soil health assessment guide How to assess soil structure Soil structure affects how well crops and grass can grow and how water and air moves in the soil. To assess the structure of your soil, you can: look at the quality of the crop or grass sward growing on your land and identify areas where there may be soil structure issues €“ read the Environment Agency€™s €˜think soils€™ guide to identifying soil structural problems in the field for more information take a soil sample by digging out a block of soil to a depth of around 30cm (12 inches) score the soil sample by visually assessing it €“ read the AHDB €™s guidance on how to carry out a visual examination of soil structure ( VESS ) to help you do this How to assess soil biology Soil biology affects: the structure and health of your soil the growth of your crops and grass water infiltration and water-holding capacity of your soil You can read the AHDB €™s guidance on €˜The functions of soil biology€™ for more information. To assess soil biology, you can take soil samples from your fields to: count the number of earthworms and other visible creatures (such as millipedes and spiders) read AHDB €™s factsheet on how to count earthworms (and use the earthworm recording sheet test the soil organic matter ( SOM ) read €˜Testing soil organic matter€™ assess microorganisms (such as fungi and bacteria) these can be quite difficult to assess yourself, but you can ask a commercial laboratory to test soil samples for this (read AHDB €™s factsheet on biological tests for soil health for more information) How to assess the risk of surface runoff and soil erosion Surface water runoff occurs when there is more rainfall than your soil can absorb, so the water drains away directly over the surface of land. This can cause soil erosion. Runoff can wash soil from your fields: into waterbodies, such as ponds, lakes, ditches, streams and rivers this can cause pollution, which can harm animals and plants that live in waterbodies across yards along tracks or roads into field drains To assess the risk of surface runoff and soil erosion caused by water, you can look at factors such as: soil type sandy and light silty soils in arable fields have a higher risk of runoff and erosion soil texture this affects whether rain soaks into the soil or runs over the surface, and how easily soil particles will be washed away soil structure, including any compaction caused by machinery or livestock this can reduce the movement of water through the soil, which increases the risk of runoff the steepness of slopes steeper slopes have a higher risk of runoff and soil erosion as water runs more quickly over the surface (read €˜How to calculate the slope of a field€™) the length of slopes long, unbroken slopes of around 150 metres or more will carry runoff more easily topography - land features such as valleys, and gateways, tend to concentrate the flow of water how often the land floods it€™s more susceptible to runoff and erosion if it floods frequently (at least once every 3 years) how close the land is to a waterbody €“ land parcels which are close to a waterbody have a higher risk of runoff causing pollution past and present visible signs of runoff or ponding of water on the surface if this happens in most years during wet periods, there€™s a higher risk of runoff visible signs of soil erosion such as rills (small streams) and gullies field drainage poorly maintained or blocked drains may increase the risk of runoff your use of the land how and when you cultivate the land, and which crops you plant, will affect the risk of runoff and soil erosion Soil erosion can also be caused by the wind. There€™s a higher risk of this occurring on fine sandy soils and light peaty soils. It€™ll be worse in dry conditions or where there€™s drainage, bare land or fine dry seedbeds. If your soil suffers from wind erosion, you may see: drifting soil or buried seedlings soil blown into hedgerows, ditches and onto nearby roads You may find it helpful to read the Environment Agency€™s €˜think soils€™ practical guide to soil assessment for more information on factors that influence erosion and runoff. How to calculate the slope of a field To calculate the slope of a field, you can use equipment such as a clinometer. The risk of surface runoff is: high for steep slopes these usually have an angle of 7 degrees or more (12%+ gradient) moderate for moderate slopes these usually have an angle of 3-7 degrees (5-12% gradient) low for gentle slopes these usually have an angle of 2-3 degrees (3-5% gradient) Producing a written soil management plan To produce the written soil management plan required by this action, you€™ll need to use the information from your soil assessment. This will help you to plan how to manage your land to improve your soil€™s health. For each field, or area within the field where the soils or slopes differ, you can record information in your soil management plan such as: soil type, structure and texture how you currently manage the area any historic or archaeological features (as identified in your SFI HEFER ), so you can plan how to manage land above or around these features risks of surface runoff and soil erosion which you€™ve identified in your soil assessment proposed future management activities, including how you plan to reduce the risks of surface runoff and soil erosion which you€™ve identified in your soil assessment When you review your soil management plan each year (as required by this action), you can update it to take account of: new soil analysis you carry out, including SOM testing new risks or continuing issues you have identified in your fields changes to proposed management activities for the next year CFE has produced UK Soil Health Initiative guides which may help with your proposed soil health improvement management activities. How to record your soil management plan You can choose how to record the written soil management plan. There€™s no standard format. It can be on paper or digital. For example, you could use a map or spreadsheet to record the information. This table is an example of how you could choose to record your soil management plan. Field or part field reference Field details Risks and problems identified in the soil assessment Proposed management actions Field 1, part 1 ST0000 0000 Medium textured well-drained stable soil in combinable crop rotation. Slopes under 3 degrees. Soil structure good, no signs of runoff or erosion. Lower risk of runoff and erosion. None identified Maintain current management. Reconsider if cropping changes. Field 2, SY0000 0000 Erodible light sandy soil in combinable crop rotation. Slopes over 7 degrees. Buried remains of Roman Villa. Next to road and watercourse. High runoff and erosion risk. Soil/sediment deposition. Risk of compaction increasing runoff and erosion Include cover crop in rotation to improve soil organic matter content. Testing soil organic matter Soil organic matter ( SOM ) provides many benefits to your soil€™s health, including improving soil structure. You can read AHDB €™s guidance on €˜What soil organic matter is and what it does€™ for more information. To test your soil for SOM , you need to: select €˜sample areas€™ which have a similar soil type and have been managed in a similar way in the past take multiple soil samples from each sample area it€™s up to you how many soil samples to take, but to take enough to gain a good understanding of the SOM across each sample area combine the soil samples into a single sample that represents the soil across each sample area You can take account of the field size when you€™re selecting sample areas. This means you can: select one sample area in each field if you consider your fields to be an average size select a number of smaller sample areas in a large field combine a number of small fields into one sample area, so you take a soil sample from each field and combine it into a single soil sample try to avoid the combined area being too large as this will reduce the soil testing analysis accuracy If you combine a number of small fields into a single sample, you can decide what size field is a €˜small field€™. There are no precise area requirements. When to take soil samples for SOM testing It€™s advisable to avoid taking soil samples if: the soil is waterlogged or very dry, because it may reduce the quality of the soil analysis manure or slurry has been applied within around the last 3 months, as it may affect the soil organic matter levels and give you a false result If you€™re taking soil samples on arable or horticultural land, you may find it easier to take soil samples in the spring or autumn: before you cultivate land to avoid damaging the crop How to take soil samples across a sample area To take soil samples across a sample area, you can: walk a €˜W€™ pattern across the area and make 5-7 stops along each leg of the €˜W€™ this will give you around 25 soil samples at each stop, aim to take cores up to a depth of around 15 centimetres (6 inches) combine the soil samples in a clean plastic bag to form one bulk sample of around 0.5 kilograms Where possible, avoid taking soil samples on any area of land with historic or archaeological features identified on your SFI HEFER . If you need to take soil samples, read section 5.6 €˜Land with historic or archaeological features€™ in the SFI scheme information before doing so. It€™s also advisable to avoid taking soil samples near to features that can distort the soil analysis results, such as: manure heaps pylons gateways headlands around trees When you walk the €˜W€™ pattern, as part of doing this action€™s soil assessment, you can also assess the: topsoil structure and count earthworms at 5-10 stops across the whole €˜W€™ subsoil structure at 3 of the stops, with one of these stops on a headland You may find it helpful to read the AHDB guidance about how to collect a soil sample . How to test the soil samples If you have the right equipment and expertise, you can test the soil samples yourself. However, sending your soil samples to a commercial laboratory will usually give more accurate results. You can find a list of laboratories where you can send your soil samples on the AHDB website. Try to use the same laboratory and method of testing if you€™re repeating the tests over a number of years. Having a consistent approach will help you see how the SOM is increasing or decreasing over time. If you use a laboratory, you can ask them to test organic matter content by using the: loss on ignition test (as a minimum level of analysis) Dumas test, which uses dry combustion to burn the samples</t>
  </si>
  <si>
    <t>CSAM1 - Assess soil, test soil organic matter and produce a soil management plan</t>
  </si>
  <si>
    <t>PRF1</t>
  </si>
  <si>
    <t>Variable rate application of nutrients</t>
  </si>
  <si>
    <t>This action€™s aim is that precision farming equipment is used to apply all major nutrients: at a variable rate, which means the nutrient application rate is automatically varied to match the nutrient needs of crops on different areas of land The purpose of this is to: reduce over-application of nutrients improve yields from more consistent crop growth and quality improve water and air quality</t>
  </si>
  <si>
    <t>precision farming equipment is used to apply all major nutrients: at a variable rate, which means the nutrient application rate is automatically varied to match the nutrient needs of crops on different areas of land T</t>
  </si>
  <si>
    <t xml:space="preserve"> reduce over-application of nutrients improve yields from more consistent crop growth and quality improve water and air quality</t>
  </si>
  <si>
    <t>You can do this action on agricultural land located below the moorland line that€™s: receiving applications of at least one major nutrient (nitrogen (N), phosphorus (P), potassium (K) and magnesium (Mg)) at a rate typically above 100 kilograms (kg) N per ha, 40kg P per ha and 40kg K per ha, per year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Arable land used to grow crops Arable land Land use codes for arable crops or leguminous and nitrogen-fixing crops Temporary grassland Arable land TG01 Arable land lying fallow Arable land FA01 Improved permanent grassland Permanent grassland PG01 Horticultural permanent crops Permanent crops TC01 Eligibility of protected land Land or features with protection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Total or part of the available area in a land parcel. Rotational or static action This action is rotational or static. This means you can either: move its location for the second and third years of this action€™s duration do it at the same location each year of this action€™s duration</t>
  </si>
  <si>
    <t>You must apply all major nutrients across the land entered into this action using variable rate application ( VRA ) equipment. The VRA equipment must be either: pre-programmed with a €˜variable rate file€™ using data from zonal soil or crop testing and analysis or remote sensing linked to a tractor or sprayer mounted crop reflectance sensor You must make sure the VRA equipment automatically varies the application rate of the major nutrients in a way that can reasonably be expected to achieve this action€™s aim. For the purposes of this action, major nutrients include nitrogen (N), phosphorus (P), potassium (K) and magnesium (Mg), as relevant, contained in: manufactured fertilisers solid or liquid solid manures such as farmyard manure, poultry litter, sewage sludge or biosolids slurry or digestate,€¯including separated liquid You do not need to use VRA equipment to apply: micro-nutrients, such as boron or sulphur lime, because is not a nutrient it helps to increase the availability of major nutrients and controls soil acidity (pH) €˜Zonal€™ soil testing means you divide land parcels into soil management zones and take soil samples within each zone. The data from zonal soil testing and analysis must cover a minimum of P, K, Mg and pH. You can use existing zonal soil testing analysis if it: meets this action€™s requirements is less than 5 years old</t>
  </si>
  <si>
    <t>You must do this action from its start date, throughout each year of its 3-year duration.</t>
  </si>
  <si>
    <t>You must keep evidence to show what you€™ve done to complete this action, such as: invoices for zonal soil testing and analysis the €˜variable rate file€™ uploaded to the VRA equipment an €˜as applied€™ VRA record at a land parcel level field operations at a land parcel level and associated invoices contractor€™s invoice if you use a contractor to do this action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</si>
  <si>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AHW1, AHW5, AHW6, AHW7, AHW8, AHW10, AHW11, OFA1, OFA6, OFC1, OFC3, OFC4, OFC5, OFM1, OFM4, OFM5, OFM6, SOH4, WBD4, WBD5, WBD6, WBD7, WBD8, AGF1, AGF2, PRF2, PRF3, PRF4, SOH1, SOH2, SOH3, CAHL2, CIGL2, CIPM1, CIPM3, CIPM4, CNUM1, CNUM2, CSAM1, CSAM2, CSAM3 SFI 2023 actions AHL2, IGL2, IPM1, IPM3, IPM4, NUM1, NUM2, SAM1, SAM2, SAM3 CS options AB1, AB2, AB5, AB6, AB7, AB8, AB9, AB11, AB13, AB14, AB15, AB16, GS3, GS4, HS2, HS3, HS9, SW5, SW6, SW7, SW8, SW9, SW10, SW12, SW13, OP1, OP2, OP4, OP5, OR1, OR3, OR4, OR5, OT1, OT3, OT4, OT5 ES options No ES revenue options SFI pilot standards SFI pilot arable and horticultural soil standard all levels SFI pilot arable and horticultural land standard introductory and intermediate levels SFI pilot improved grassland standard introductory and intermediate levels SFI pilot improved grassland soils standard all levels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</si>
  <si>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How to carry out €˜zonal€™ soil testing To carry out zonal soil testing, you can divide land parcels into soil management zones by using: a grid to identify 1ha areas, and take soil samples from each 1ha area soil scanning to map different areas, and take representative soil samples in each area (usually a minimum of around one per 3ha in each area) Where possible, avoid taking soil samples on any area of land with historic or archaeological features identified on your SFI HEFER . If you need to take soil samples, read section 5.6 €˜Land with historic or archaeological features€™ in the SFI scheme information before doing so. How to apply nitrogen using VRA equipment To apply nitrogen (N), you can use VRA equipment that€™s either: pre-programmed with a €˜variable rate file€™ using data from crop testing and analysis or remote sensing of crop reflectance remote sensing will usually need to be carried out no more than around 14 days before the application of N to reasonably achieve this action€™s aim linked to a tractor or sprayer mounted crop reflectance sensor which varies the application rate in real time</t>
  </si>
  <si>
    <t>PRF1 - Variable rate application of nutrients</t>
  </si>
  <si>
    <t>CIPM4</t>
  </si>
  <si>
    <t>No use of insecticide on arable crops and permanent crops</t>
  </si>
  <si>
    <t>This action€™s aim is that no plant protection products containing insecticide are applied on an arable crop or permanent crops. The purpose of this is to: support an integrated pest management approach by managing crop pests in a more sustainable way improve water and air quality increase biodiversity</t>
  </si>
  <si>
    <t>no plant protection products containing insecticide are applied on an arable crop or permanent crops. T</t>
  </si>
  <si>
    <t xml:space="preserve"> support an integrated pest management approach by managing crop pests in a more sustainable way improve water and air quality increase biodiversity</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</si>
  <si>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Arable land used to grow crops (not temporary grassland or fallow land) Arable land Land use codes for arable crops or leguminous and nitrogen-fixing crops Permanent crops horticultural and non-horticultural (not miscanthus) Permanent crops Land use codes for permanent crops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Total or part of the available area in a land parcel. Rotational or static action For arable crops (including non-permanent horticultural crops) this action is rotational. This means you can either: do it at the same location each year of this action€™s duration move its location for the second and third years of this action€™s duration For permanent crops, this action is static. This means you must do it at the same location each year of this action€™s duration.</t>
  </si>
  <si>
    <t>You must not apply any plant protection products containing insecticide on land entered into this action, including: insecticide seed dressings nematicides and acaricides other insecticides, such as silica insecticides and orange oil You can apply herbicides, fungicides or plant growth regulators. If the land is being used to grow arable crops (including non-permanent horticultural crops), you must do this action on one €˜cash crop€™ from when it€™s sown until it€™s harvested. A €˜cash crop€™ means a crop grown to be harvested for commercial use. For the purposes of this action, an arable crop includes: combinable crops, such as cereals and oilseed rape root crops field vegetables and salad crops soft fruit crops which do not occupy the land for 5 years or more and provide repeated harvests (also known as permanent crops) You can choose which arable crop to do this action on, but it must not be: a cover crop which you will not harvest for commercial sale a short-term specialist crop, such as crops which are only in the ground for around 2 months If something happens which means you cannot complete this action, you must tell the Rural Payments Agency about this in writing as soon as possible. Read section 13.2 €˜What you must do if you cannot comply with your agreement€™ in the SFI scheme information to find out how to do this.</t>
  </si>
  <si>
    <t>For arable crops, you must do this action on at least one crop that€™s sown during each year of this action€™s 3-year duration. You can harvest it in a subsequent year of this action€™s duration if you sow the next crop for this action in the same year. This means you must do this action on a crop that€™s sown during: the first year of this action€™s duration you can harvest it in the second year of this action€™s duration the second year of this action€™s duration you can harvest it in the third year of this action€™s duration the third year of this action€™s duration you must do this action until you harvest the crop or this action€™s end date (whichever is earlier) If you€™re already growing an arable crop on the land entered into this action when the action starts, you must do this action on a crop that€™s sown within 12 months of the action€™s start date. For permanent crops, you must do this action from its start date, throughout each year of this action€™s 3-year duration.</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</si>
  <si>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AHW6, AHW7, OFA1, OFA6, OFC3, OFC4, OFC5, OFM4, OFM5, OFM6, SOH4, AGF1, AGF2, PRF1, PRF2, PRF3, PRF4, SOH1, SOH2, SOH3, CAHL2, CIPM1, CIPM3, CNUM1, CSAM1, CSAM2 SFI 2023 actions AHL2, IPM1, IPM3, NUM1, SAM1, SAM2 CS options AB2, AB9, HS3, HS9, OP1, OP2, OP5, OR3, OR4, OR5, OT3, OT4, OT5, SW5, SW6 ES options No ES revenue options SFI pilot standards SFI pilot arable and horticultural land standard all levels SFI pilot arable and horticultural soils standard all levels (*the other Arable CS options not contained in the table above prohibit the use of insecticides as part of the CS option, so cannot be located on the same area as CIPM4 as they€™re either incompatible or you€™d be paid twice for doing the same activity)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</si>
  <si>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Managing arable and horticultural crops without using insecticide This action requires you not to use any plant protection products containing insecticide.  Insecticides are used to control invertebrate pests. You can check: the product label to find out whether a plant protection product contains insecticide the Health and Safety Executive website for information on authorised plant protection products containing insecticides This action allows you to apply herbicides, fungicides and plant growth regulators. You can also use   molluscicides, such as slug pellets. As an alternative to using insecticide, you can use preventative measures or other control methods as part of an IPM approach. For example, you could: create habitats for natural crop pest predators use companion cropping to provide protection from crop pests To create habitats for natural crop pest predators, you may be able to do the following SFI actions on a different area in the same land parcel as this action: IPM2: Flower-rich grass margins, blocks or in-field strips AHL1: Pollen and nectar flower mix AHL4: 4m to 12m grass buffer strip on arable and horticultural land To use companion cropping, you can do CIPM3: Companion crop on arable and horticultural land on the same area in a land parcel as this action. You may find it helpful to do CIPM1: Assess integrated pest management and produce a plan to help you identify and discuss opportunities for using IPM with a BASIS qualified adviser.</t>
  </si>
  <si>
    <t>CIPM4 - No use of insecticide on arable crops and permanent crops</t>
  </si>
  <si>
    <t>GRH7</t>
  </si>
  <si>
    <t>Haymaking supplement</t>
  </si>
  <si>
    <t>This action€™s aim is that there€™s a crop of field-dried hay, grown and harvested, with wildflowers and grasses allowed to flower and set seed. The purpose of this is to: help to conserve plants in traditionally managed hay meadows provide pollen and nectar for bees and other insects improve water quality maintain traditional landscape character</t>
  </si>
  <si>
    <t>there€™s a crop of field-dried hay, grown and harvested, with wildflowers and grasses allowed to flower and set seed. T</t>
  </si>
  <si>
    <t xml:space="preserve"> help to conserve plants in traditionally managed hay meadows provide pollen and nectar for bees and other insects improve water quality maintain traditional landscape character</t>
  </si>
  <si>
    <t>You can only do this supplemental action on eligible land entered into the following base actions: CLIG3: Manage grassland with very low nutrient inputs (or LIG1 and LIG2 in the SFI 2023 offer) GRH6: Manage priority habitat species-rich grassland You cannot do this supplemental action on land that€™s already entered into the following equivalent base actions in a Countryside Stewardship agreement: GS2 (permanent grassland with very low inputs outside SDAs ) GS5 (permanent grassland with very low inputs SDAs ) Eligibility of protected land Protected land Eligibility Sites of special scientific interest ( SSSIs ) Same as your selected base action Historic and archaeological features Same as your selected base action Available area you can enter into this action Same or less than your selected base action. Rotational or static action This action is rotational or static. This this means that after the first year of this action€™s duration you can either: move its location around the land entered into the relevant base action for subsequent years of this action€™s duration do it at the same location each year</t>
  </si>
  <si>
    <t>You must not graze or cut the sward for a continuous period of at least 8 weeks during the spring and summer months before you harvest the hay crop. This is to allow the sward to develop flowering grasses and wildflowers. The minimum 8-week period required by this supplemental action replaces the minimum 7-week period in base action CLIG3. This applies to the area of land entered into this supplemental action. You must allow the flowers and grasses to set seed. This will usually mean you must harvest the hay crop no earlier than: late June on land outside the severely disadvantaged areas ( SDAs ) mid-July on land in an SDA , where grass grows more slowly When you harvest the hay crop, you must: in each land parcel, leave an uncut margin around at least half of the edge of the area entered into this action to provide shelter for invertebrates and small mammals leave the cut hay crop to field dry, turning it at least once remove the hay crop once it is field dry it can be unwrapped or wrapped After you€™ve removed the hay crop, you must manage the sward in a way that can reasonably be expected to achieve the relevant base action€™s aim. This will usually be by aftermath grazing or taking a second cut.</t>
  </si>
  <si>
    <t>You must do this action each year of its duration.</t>
  </si>
  <si>
    <t>You must keep evidence to show what you€™ve done to complete this action, such as: field operations at a land parcel level and associated invoices a grazing activity record if livestock are grazed on the area photographs and other documentation to show management undertaken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</si>
  <si>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actions Same as your selected base action CS options Same as your selected base action ES options Same as your selected base action SFI pilot standards Same as your selected base action If an action or option cannot be located on the same area, you may be able to do it on a different area in the same land parcel. Read section 6 €˜Eligible land in other funding schemes€™ in the SFI scheme information for more details.</t>
  </si>
  <si>
    <t xml:space="preserve"> How to make field-dried hay Check your field for signs of nesting birds before you harvest the hay crop. Birds, nests and eggs are protected by law , so if you see signs of nesting birds, delay cutting until the birds fledge. If the weather is wet, you can harvest the hay crop later. When you leave the cut hay crop to field dry, try to let the swath wilt (which may take around 48 hours, depending on the weather) and then turn it over. This will allow some wildflower seeds to return to the meadow. Managing hay meadows If you manage the grassland by only cutting it, there will be a consistent sward height and structure. Grazing with cattle can help maintain a range of vegetation heights. You can use aftermath grazing (from late summer until autumn) to add variety to the sward and improve hay meadow biodiversity. This will usually start around 6 weeks after you€™ve cut the hay crop, but this timing will depend on the: growing season ground conditions You can also graze during the following spring, unless your meadow has early flowering plants (such as cowslips and bluebells). To help prevent damage from poaching, you can remove the livestock when the: average sward height becomes very short (below around 5 centimetres) ground is too wet</t>
  </si>
  <si>
    <t>GRH7 - Supplement: Haymaking</t>
  </si>
  <si>
    <t>CHRW2</t>
  </si>
  <si>
    <t>Manage hedgerows</t>
  </si>
  <si>
    <t>per 100 metres</t>
  </si>
  <si>
    <t>for one side of an eligible hedgerow per year</t>
  </si>
  <si>
    <t>This action€™s aim is that there are managed hedgerows with a range of different heights and widths. The purpose of this is to provide: habitat for wildlife pollen, nectar and berries for mammals, birds and insects</t>
  </si>
  <si>
    <t>there are managed hedgerows with a range of different heights and widths. T</t>
  </si>
  <si>
    <t>provide: habitat for wildlife pollen, nectar and berries for mammals, birds and insects</t>
  </si>
  <si>
    <t>An eligible hedgerow for this action must be: a boundary line of shrubs, or both shrubs and trees over 20m long less than 10m wide The hedgerow can be: newly planted, laid or coppiced woody growth on top of an earth or stone-faced bank, for example, Cornish or Devon hedges There can be gaps in the hedgerow if they€™re not more than: 20m long 10% of the total length of the relevant hedgerow when you add all the gaps in it together If the gaps add up to more than 10%, you can only do the action on the total length of the hedgerow if you€™ll plant up the gaps during this action€™s 3-year duration. You can apply for Capital Grants for hedgerow gapping up (BN7) and planting new hedges (BN11) to help you do this. You can do this action on either one side or both sides of an eligible hedgerow unless you€™re managing a fully established hedgerow in a coppicing or laying rotation. In this case, you must enter both sides of the hedgerow. You must have management control of one or both sides, depending on what you enter into this action. You can enter both sides of a roadside hedgerow, or a hedgerow that borders a neighbour€™s land, if you meet both of the following: you have a legal right or obligation to maintain the hedgerow you can meet this action€™s requirements Eligibility of protected land Protected land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Not applicable, as this is a linear action. You can choose what length of eligible hedgerows to enter into this action. Rotational or static action This action is static. This means you must do it at the same location each year of this action€™s duration.</t>
  </si>
  <si>
    <t>You must manage hedgerows entered into this action. What you must do to manage them depends on whether they€™re: fully established, which will usually be the case around 5 years after they€™re planted newly planted, or not fully established If the hedgerows are fully established, you must use one of the following management approaches (you can use different approaches on different fully established hedgerows): cut each hedgerow incrementally on a rotation, cut each hedgerow no more than once every 3 years, cutting no more than one third of hedges each year on a rotation, cut each hedgerow no more than once every 2 years, cutting no more than half the hedges each year managing them in a coppicing or laying rotation, which may mean they€™re left uncut for the duration of your 3-year SFI agreement If the hedgerows are newly planted, or not fully established, you must lightly trim them incrementally. You must do this until they€™re fully established.</t>
  </si>
  <si>
    <t>For fully established hedgerows, if you€™re cutting them: incrementally, you must do this during the autumn and winter months (usually September to late February), each year of this action€™s 3-year duration on a rotation no more than once every 3 years, you must do this during the autumn and winter months on a rotation no more than once every 2 years, you must do this in late winter (usually from early January to late February) For newly planted hedgerows, or hedgerows which are not fully established, you must lightly trim them incrementally: during the autumn and winter months each year of this action€™s 3-year duration</t>
  </si>
  <si>
    <t>You can do the following actions or options in land parcels with eligible boundaries entered into this action. Scheme Action or option codes SFI 2024 actions All SFI 2024 actions, expect BND1 SFI 2023 actions All SFI 2023 actions, except HRW2 CS options All CS management options, except BE3 (management of hedgerows) ES options All ES revenue options, except boundary options SFI pilot standards All SFI pilot standards, except the SFI pilot hedgerows standard</t>
  </si>
  <si>
    <t xml:space="preserve"> Managing hedgerows This action explains what you€™re required to do to manage hedgerows entered into this action (under €˜What to do€™). Before you start managing the hedgerows, check whether there are any regulatory restrictions which may affect what you€™re intending to do. For example: birds, nests and eggs are protected by law, so if you see signs of nesting birds, delay cutting until the birds fledge you can check with your local authority if any hedgerows are in a conservation area if your management of hedgerows will include felling trees, check if you need a tree felling licence Read section 10 €˜Get all necessary regulatory consents, permissions and licences in place€™ of the SFI scheme information for more details. You may find it helpful to read: the People€™s Trust for Endangered Species ( PTES ) guidance on top tips for managing hedgerows Hedgelink€™s hedgerow management advice How to cut your hedgerows How you cut your hedgerows will affect how much wildlife benefit they will have. For example, if you cut the hedgerow: too low, it will not be used by birds and animals that like to feed or nest further away from the ground back to the same point every year, it€™s unlikely to produce many berries to the same height each time, it will have poor structure and is likely to provide fewer nesting sites for birds, with easier access for their predators If you choose to cut your fully established hedgerows incrementally, you can do this by increasing the height and width of each cut by about 10 centimetres (cm) compared with the previous cut. If your hedgerow is newly planted or not fully established, this action requires you to lightly trim it incrementally until it€™s fully established. Doing this will encourage dense, bushy growth. You can find more information about cutting hedgerows in: Natural England€™s Hedge cutting: answers to 18 common questions leaflet the People€™s Trust for Endangered Species guidance on incremental cutting . Coppicing or laying hedgerows If you manage fully established hedgerows in a copping or laying rotation, this can restore them by stimulating new growth from the base. You can manage regrowth by cutting it incrementally higher and wider to form a bushy hedgerow.</t>
  </si>
  <si>
    <t>CHRW2 - Manage hedgerows</t>
  </si>
  <si>
    <t>Meters</t>
  </si>
  <si>
    <t>CAHL2</t>
  </si>
  <si>
    <t>Winter bird food on arable and horticultural land</t>
  </si>
  <si>
    <t>This action€™s aim is that there€™s an established winter bird food mix growing in blocks or strips, with plants that: grow and flower during the spring and summer months set seed to produce a supply of small seeds from late autumn until late winter The purpose of this is to: provide food resources for smaller farmland birds, especially in late autumn and winter encourage flowering plants in the summer, which will benefit insects including bumblebees, solitary bees, butterflies and hoverflies support an integrated pest management approach if located close to cropped areas</t>
  </si>
  <si>
    <t>there€™s an established winter bird food mix growing in blocks or strips, with plants that: grow and flower during the spring and summer months set seed to produce a supply of small seeds from late autumn until late winter T</t>
  </si>
  <si>
    <t xml:space="preserve"> provide food resources for smaller farmland birds, especially in late autumn and winter encourage flowering plants in the summer, which will benefit insects including bumblebees, solitary bees, butterflies and hoverflies support an integrated pest management approach if located close to cropped areas</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</si>
  <si>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This is a €˜limited area€™ action. The total eligible area you enter into any combination of one or more of the €˜limited area€™ actions must not be more than 25% of the total agricultural area of your farm. Read section 1.3 €˜ SFI actions with a limited area€™ in the SFI scheme information) for more details (including a list of €˜limited area€™ actions). Eligible land Eligible land type Eligible land cover Compatible land use code Arable land used to grow crops Arable land Land use codes for arable crops or leguminous and nitrogen-fixing crops Temporary grassland Arable land TG01 Arable land lying fallow Arable land FA01 Permanent crops horticultural Permanent crops TC01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Part of the available area in a land parcel. Rotational or static action This action is rotational or static. This means you can either: move its location for the second and third years of this action€™s duration do it at the same location each year of this action€™s duration</t>
  </si>
  <si>
    <t>You must establish a winter bird food mix as a block or strip on land entered into this action. You must use a seed mix which includes at least 6 small seed-bearing crops, which are suitable for smaller farmland bird species. The mix must not include: artichokes reed canary grass giant and intermediate sorghum maize miscanthus sweet clover tic beans If you sow an annual mix, it can include a range of cereals, brassicas or other small-seeded crops. If you sow a 2-year mix, it can also include biennial crops such as kale, stubble turnip or teasel. Once the winter bird food mix block or strip is established, you must maintain it. To do this, you must manage it in a way that can reasonably be expected to achieve this action€™s aim. You must re-establish a 1-year mix annually and 2-year mixes every other year, so they continue to produce an extended supply of small seeds. This can be at the same location or a different location. You must not use the winter bird food mix block or strip for regular vehicular access, turning or storage (for example, storing bales or machinery). You can maintain an existing winter bird food mix block or strip to get paid for this action, if it: meets this action€™s requirements is not already being paid for under another environmental land management scheme option, such as Countryside Stewardship ( CS ) option AB9 (winter bird food)</t>
  </si>
  <si>
    <t>You must: establish the winter bird food mix block or strip in time for it to flower in the first summer after sowing (usually this means by the end of June) maintain the mix at the same location until late winter (usually around the end of February) in the year after it was sown (for 1-year mixes) or the following year (for 2-year mixes) If this action€™s start date means it€™s too late to establish the winter bird food mix, you must establish it within 12 months of your action€™s start date. If you establish the winter bird food mix block or strip after the end of June, you must maintain it at the same location for 2 consecutive winters in order to achieve this action€™s aim. In the final year of this action€™s duration, you must do this action either until late winter, or this action€™s end date, whichever is earlier.</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</si>
  <si>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OFC3, OFC4, OFC5, OFM4, OFM5, OFM6, AGF1, AGF2, PRF1, PRF2, PRF4, SOH1, SOH2, SOH3, CIPM1, CIPM3, CIPM4, CNUM1, CSAM1 SFI 2023 actions SAM1, IPM1, IPM3, IPM4, NUM1 CS options HS3, HS9, OR3, OR4, OR5, OT3, OT4, OT5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apply for one of the following supplemental actions if CAHL2 (or AHL2 in the SFI23 offer) is included in your agreement: AHW2: Supplementary winter bird food OFA3: Supplementary winter bird food (organic)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</si>
  <si>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a seed mix This action explains (under €˜What to do€™): the minimum requirement for small seed-bearing crops in the seed mix which crops you must not use in the seed mix you can use an annual mix or 2-year mix both provide food for a range of farmland birds, such as finches, buntings, sparrows and partridges Cereal crops you could use include: spring barley spring oats spring rye spring triticale spring wheat red millet white millet Brassica crops you could use include: fodder radish forage rape gold of pleasure kale mustard stubble turnip Your seed supplier can help you choose a seed mix that€™s the best match for your land and local conditions. Where to sow the seed mix It will usually help if you sow the winter bird food mix block or strips on sites that: receive plenty of sunlight, to help the plants establish are weed-free, as a high weed burden will affect crop establishment are close to nesting, roosting and other farmland bird feeding habitats, where possible are next to a field edge, but they can extend into the field are away from buildings to reduce the risk of vermin You can choose to locate the winter bird food mix blocks or strips to square up cultivated areas which could help to speed up farm operations. You can use larger blocks or strips (between around 0.4 hectares (ha) and 5ha) to: allow more seeds to remain undiscovered for longer extend the area€™s value well into winter. How and when to sow the seed mix Your seed supplier can advise you on an overall sowing rate for the seed mix you choose. It will usually help the seeds to germinate if you sow the seed mix: into a seedbed that€™s firm, consolidated, fine, level and weed free when the weather and soil moisture is suitable for the crops in your seed mix this will usually be between March and June (depending on the crops in your mix) You can either: broadcast the seeds onto the surface of the seedbed to help germination shallow-drill the seeds up to a depth of 1 centimetre (cm) small seeds usually struggle to germinate when sown deeper than 1cm After you have sown the seed mix, you can roll the seeds (if the soil is dry enough) to improve: seed-to-soil contact retain moisture reduce the risk of slug damage Managing the winter bird food blocks or strips during establishment Around 4 weeks after sowing, it€™s advisable to check the block or strip for germination. If establishment is poor, you may need to re-sow part or all the block or strip. Your seed supplier can help you if you€™re unsure what to do. Maintaining established blocks or strips Once the block or strip is established, this action requires you to to maintain it by managing it in a way that can reasonably be expected to achieve this action€™s aim. To help you achieve the action€™s aim, you may need to do the following, as necessary: re-sow the area, so it continues to produce an extended supply of small seeds an annual mix will need to be re-sown every year and 2-year mixes every other year apply fertiliser, so the crops grow sufficiently to smother annual weeds and produce a supply of small seeds from late autumn until late winter (usually around mid-February) control pests, such as flea beetle, slugs, rabbits, corvids and pigeons control weeds where a high weed burden may cause poor seed production of the sown crops to avoid damaging the sown crops, you can apply herbicides or remove the weeds by hand</t>
  </si>
  <si>
    <t>CAHL2 - Winter bird food on arable and horticultural land</t>
  </si>
  <si>
    <t>CSAM2</t>
  </si>
  <si>
    <t>Multi-species winter cover crop</t>
  </si>
  <si>
    <t>This action€™s aim is that there€™s a multi-species cover crop that€™s: well-established over the winter months present between harvesting a cash crop and establishing the next cash crop The purpose of this is to: protect the soil surface provide root growth that benefits soil structure supports soil biology and minimises nutrient leaching, soil erosion and runoff</t>
  </si>
  <si>
    <t>there€™s a multi-species cover crop that€™s: well-established over the winter months present between harvesting a cash crop and establishing the next cash crop T</t>
  </si>
  <si>
    <t xml:space="preserve"> protect the soil surface provide root growth that benefits soil structure supports soil biology and minimises nutrient leaching, soil erosion and runoff</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</si>
  <si>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Arable land used to grow crops Arable land Land use codes for arable crops or leguminous and nitrogen-fixing crops Temporary grassland Arable land TG01 Arable land lying fallow Arable land FA01 Permanent crops horticultural Permanent crops TC01 Eligibility of protected land Protected land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Total or part of the available area in a land parcel. Rotational or static action This action is rotational or static. This means you can either: move its location for the second and third years of this action€™s duration do it at the same location each year of this action€™s duration</t>
  </si>
  <si>
    <t>You must establish a multi-species cover crop on land entered into this action which will not be harvested as a €˜cash crop€™. A €˜cash crop€™ means a crop grown to be harvested for commercial use. You must establish the multi-species cover crop early enough so it can reasonably be expected to achieve this action€™s aim. You must use a seed mix that contains at least 2 species from 2 or more of the following plant families: brassicas legumes cereals or grasses herbs You must avoid growing deep rooted species on any area within a land parcel with historic or archaeological features identified in your SFI HEFER . Read section 5.6€¯€˜Land with historic or archaeological features€™ in the SFI scheme information for more details. You must maintain the multi-species cover crop over the winter months in a way that can reasonably be expected to achieve this action€™s aim. You can graze the cover crop with livestock, but it must still be well-established over the winter months. For the purposes of this action€™s aim, the cover crop will be well-established if there€™s: leafy vegetation that€™s sufficiently well grown so the cover crop protects the soil surface for the duration of the winter months (usually from early December until late February) minimal bare soil If something happens which means you cannot complete this action, you must tell the Rural Payments Agency about this in writing as soon as possible. For example, if there€™s prolonged adverse weather which means the cover crop is not well-established. Read section 13.2 €˜What you must do if you cannot comply with your agreement€™ in the SFI scheme information to find out how to do this. You must not do the following on the well-established cover crop: mechanically apply any fertilisers or manures destroy it before the end of the winter months, unless you€™re establishing an early-sown spring crop If you€™re establishing an early-sown spring crop, you may destroy the multi-species cover crop before the end of the winter months. You must not do this more than 6 weeks before you establish the early-sown spring crop. When you destroy the multi-species cover crop, you should try to minimise risks such as compaction, poaching, soil runoff or erosion. You can maintain an existing multi-species cover crop to get paid for this action if it: meets this action€™s requirements is not already being paid for under another environmental land management scheme option you can use a cover crop paid for under SOH3 (multi-species summer-sown cover crop) to meet this action, but only if you overseed it</t>
  </si>
  <si>
    <t>You must do this action each year of its 3-year duration. If this action€™s start date means it€™s too late for you to do this action, you must start doing it within 12 months of the action€™s start date. In the final year of this action€™s duration, you must do this action until the end of the winter months, or this action€™s end date, whichever is earlier.</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</si>
  <si>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AHW5, AHW10, AHW11, OFA6, OFC3, OFC4, OFM4, OFM5, AGF1, AGF2, PRF1, PRF2, PRF3, PRF4, SOH1, SOH2, SOH3, CIPM1, CIPM3, CIPM4, CNUM1, CSAM1 SFI 2023 actions IPM1, IPM3, IPM4, NUM1, SAM1 CS options AB5, AB11, AB14, HS3, HS9, OP5, OR3, OR4, OT3, OT4 ES options No ES revenue options SFI pilot standards No area 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</si>
  <si>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a seed mix This action explains the minimum requirement for species in the seed mix (under €˜What to do€™). Table 1 shows examples of what you could use. Table 1: Species you could use Plant family Species Brassicas Yellow mustard, brown mustard, oil radish, tillage radish, stubble turnip, kale Legumes Common vetch, hairy vetch, red clover, white clover, alsike clover, sweet clover, crimson clover, lucerne, black meddick, peas and beans Cereals or grasses Italian ryegrass, festulolium, black oats, forage rye, barley, winter triticale Herbs Phacelia, buckwheat, linseed Choosing a varied mix (with multiple species from different plant families and with different characteristics) will normally bring greater benefits to your soil. If you€™re in an area with a shorter growing season you may need to choose plants that germinate and grow in cooler weather. Your seed supplier can help you choose a seed mix that€™s the best match for your land and local conditions. You may find it helpful to read the Agriculture and Horticulture Development Board ( AHDB ) information sheet about cover crops . How to sow the cover crop Your seed supplier can advise you on an overall sowing rate for the seed mix you choose. To help the cover crop achieve this action€™s aim, it will usually help to sow the seed mix into warm soils. Depending on the species in your mix, this will be late summer or early autumn. You can drill or broadcast the seed mix. Drilling seeds is usually more reliable and gives a higher germination success than broadcasting. However, broadcasting is cheaper. After you have sown the seed mix you can roll the seeds if the soil is dry enough. This can help to: improve seed-to-soil contact retain moisture reduce the risk of slug damage How to destroy the cover crop If you€™re destroying the cover crop after the winter months, it€™s up to you what method you use.</t>
  </si>
  <si>
    <t>CSAM2 - Multi-species winter cover crops</t>
  </si>
  <si>
    <t>SOH1</t>
  </si>
  <si>
    <t>No-till farming</t>
  </si>
  <si>
    <t>This action€™s aim is that no-tillage (€˜no-till€™) farming techniques are used, so soil disturbance is minimised. The purpose of this is to: improve soil health, fertility, structure, soil water storage and reduce soil runoff help to keep organic matter and nutrients in the soil provide benefits for carbon, water quality and biodiversity help protect historic environment features</t>
  </si>
  <si>
    <t>no-tillage (€˜no-till€™) farming techniques are used, so soil disturbance is minimised. T</t>
  </si>
  <si>
    <t xml:space="preserve"> improve soil health, fertility, structure, soil water storage and reduce soil runoff help to keep organic matter and nutrients in the soil provide benefits for carbon, water quality and biodiversity help protect historic environment features</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</si>
  <si>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You cannot do this action on land where you€™re tilling narrow strips of soil to plant crops, leaving the areas between the rows untilled. This is known as €˜strip tillage€™. Eligible land Eligible land type Eligible land cover Compatible land use code Arable land used to grow crops Arable land Land use codes for arable crops or leguminous and nitrogen-fixing crops Temporary grassland (only if it€™s part of the crop rotation and present for no more than 2 years of this action€™s duration) Arable land TG01 Arable land lying fallow (only if it€™s part of the crop rotation and present for no more than 2 years of this action€™s duration) Arable land FA01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Total available area in a land parcel. Rotational or static action This action is static. This means you must do it at the same location each year of this action€™s duration.</t>
  </si>
  <si>
    <t>You must establish crops on land entered into this action using a €˜no-till€™ direct drill or broadcasting equipment. For the purposes of this action: crops include €˜cash crops€™, cover crops and temporary grassland (a €˜cash crop€™ means a crop grown to be harvested for commercial use) direct drills include tine drills, disc drills and precision seed drills any following harrow tines must be rearward facing You must not use conventional or shallow min-till cultivation machinery (except for a stubble rake or straw harrow with rearward facing tines): to prepare the land for sowing crops between harvesting (or destroying cover crops) and sowing crops Where necessary, you can carry out the following on land that does not contain historic or archaeological features: low disturbance subsoiling to reduce soil compaction during the crop rotation - for example, if there€™s bad weather when you harvest the crop mole draining to help natural drainage You must keep evidence if you do subsoiling or mole draining. You must not carry out subsoiling or mole draining on land with historic or archaeological features. This includes scheduled monuments (which would require scheduled monument consent). Read section 10.1 €˜Scheduled monument consent€™ in the SFI scheme information for further details.</t>
  </si>
  <si>
    <t>You must do this action: from its start date, unless you have a crop in place when this action starts which does not meet this action€™s requirements throughout each year of this action€™s duration If there€™s a crop in place when this action starts which does not meet this action€™s requirements, you must do this action: as soon as possible after the crop is harvested or destroyed within 12 months of this action€™s start date</t>
  </si>
  <si>
    <t>You must keep evidence to show what you€™ve done to complete this action, such as: field operations at a land parcel level (including if you€™ve had to carry out low-disturbance subsoiling to reduce compaction or mole-draining) and associated invoices photographs and other documentation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</si>
  <si>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AHW6, AHW7, AHW8, AHW9, AHW10, OFA1, OFA6, OFC3, OFM4, SOH4, AGF1, AGF2, PRF1, PRF2, PRF3, PRF4, SOH2, SOH3, CAHL2, CIPM1, CIPM3, CIPM4, CNUM1, CSAM1, CSAM2, CIGL2 SFI 2023 actions AHL2, IPM1, IPM3, IPM4, NUM1, SAM1, SAM2, IGL2 CS options AB1, AB2, AB5, AB6, AB7, AB9, AB10, AB11, AB13, AB14, AB15, GS3, SW5, SW6, OP1, OP2, OP5, OR3, OT3 ES options No ES revenue options SFI pilot standards SFI pilot arable and horticultural soils standard introductory level If an action or option cannot be located on the same area, you may be able to do it on a different area in the same land parcel. See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</si>
  <si>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How to prepare for a no-till system No-till works best on drier, more stable, well-structured and well-drained soils. Before you enter land into this action, it may help you to: ask your agronomist to assess your land€™s suitability for a no-till system do the soil assessment and management plan for CSAM1 to assess your soil€™s structure and work out how no-till can fit in with your wider farm operations identify and deal with any soil compaction You may find it helpful to read the Agriculture and Horticulture Development Board ( AHDB ) factsheet on €˜No-till: opportunities and challenges for cereal and oilseed growers€™ . Choosing equipment for no-till To introduce a no-till farming system, you€™ll need to either: adapt existing cultivation equipment and seed drills for no-till you can speak to machinery manufacturers for advice on this buy a no-till or zero till direct drill you may be able to get funding for no-till machinery through the Farming Equipment and Technology Fund ( FETF ). A no-till or zero till direct drill drills seeds directly into the stubble of a previous crop that€™s had no cultivation after harvest. This leaves the majority of the previous crop residue undisturbed after drilling, which can help: increase organic matter in the soil rainfall to soak into the soil, which can reduce surface runoff and soil erosion The most suitable direct drill type for your land will depend on local conditions and soil type. Establishing crops Crop yields can sometimes decline during the first 3 years. Yields normally recover as the health of the soil improves. Crop residues can retain nitrogen, which is needed in the soil to help crops grow. This can delay crops establishing in the short term. Over time, microbes in the soil will adapt so nitrogen can be absorbed by crops better. This helps crops to establish quicker. In systems where straw is chopped, you can spread the chopped straw and chaff evenly across the field using a stubble rake or straw harrow with rearward facing tines. This can help to encourage germination. You can use rolling post drilling. How to control weeds, pests and diseases Weed, pest and disease control can be difficult in no-till systems. To help you control weeds for a no-till system, you can: increase the seed rate rotate the type of crops you grow from year to year sow cover crops to improve the health of soil use non-selective herbicides before drilling You can use precision pesticide application systems, like a spot sprayer or weed wiper, to reduce your use of pesticides. To help you do this, you can get paid under SFI to do the following precision farming actions: PRF2: Camera or remote sensor guided herbicide spraying PRF3: Non-mechanical robotic weeding You may need to control slugs during crop establishment. You may find it helpful to do CIPM1: Assess integrated pest management and produce a plan to help you identify and discuss opportunities for using IPM with a BASIS qualified adviser. Improving natural drainage This action allows you to use mole drains to improve natural drainage, where necessary. This can help to prevent compaction. You may find it helpful to read the AHDB €™s guidance on €˜Field drainage: Use of mole drains€™ .</t>
  </si>
  <si>
    <t>SOH1 - No-till farming</t>
  </si>
  <si>
    <t>CHRW1</t>
  </si>
  <si>
    <t>Assess and record hedgerow condition</t>
  </si>
  <si>
    <t xml:space="preserve"> for one side of an eligible hedgerow per year</t>
  </si>
  <si>
    <t>This action€™s aim is that you: understand the condition of your hedgerows effectively plan how they can be managed to improve their condition</t>
  </si>
  <si>
    <t>you: understand the condition of your hedgerows effectively plan how they can be managed to improve their condition</t>
  </si>
  <si>
    <t>An eligible hedgerow for this action must be: a boundary line of shrubs, or both shrubs and trees over 20m long less than 10m wide The hedgerow can be: newly planted, laid or coppiced woody growth on top of an earth or stone-faced bank, for example, Cornish or Devon hedges There can be gaps in the hedgerow if they€™re not more than: 20m long 10% of the total length of the relevant hedgerow when you add all the gaps in it together If the gaps add up to more than 10%, you can only do the action on the total length of the hedgerow if you€™ll plant up the gaps during this action€™s 3-year duration. You can apply for Capital Grants for hedgerow gapping up (BN7) and planting new hedges (BN11) to help you do this. You can do this action on either one side or both sides of an eligible hedgerow. You must have management control of one or both sides, depending on what you enter into this action. You can enter both sides of a roadside hedgerow, or a hedgerow that borders a neighbour€™s land, if you meet both of the following: you have a legal right or obligation to maintain the hedgerow you can meet this action€™s requirements Eligibility of protected land Protected land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Not applicable, as this is a linear action. You can choose what length of eligible hedgerows to enter into this action. Rotational or static action This action is static. This means you must do it at the same location each year of this action€™s duration.</t>
  </si>
  <si>
    <t>You must: assess the condition of all the hedgerows entered into this action produce a written hedgerow condition assessment record for these hedgerows If you€™ve already assessed these hedgerows and produced a written hedgerow condition assessment record in the last 5 years, you can use it to get paid for this action.</t>
  </si>
  <si>
    <t>You must: assess the condition of the hedgerows and complete a written hedgerow condition assessment record within 12 months of this action€™s start date review the condition of the hedgerows and update the hedgerow condition assessment record in each subsequent year of this action€™s duration</t>
  </si>
  <si>
    <t>You must keep the required written record of your hedgerow condition assessment. It can be recorded on paper or digitally. You must supply this evidence if we ask for it.</t>
  </si>
  <si>
    <t>You can do the following actions or options in land parcels with eligible boundaries entered into this action. Scheme Action or option codes SFI 2024 actions All SFI 2024 actions, except BND1 SFI 2023 actions All SFI 2023 actions, except HRW1 CS options All CS management options, including BE3 (management of hedgerows) ES options All ES revenue options SFI pilot standards All SFI pilot standards, including all levels of the SFI pilot hedgerows standard</t>
  </si>
  <si>
    <t xml:space="preserve"> Completing a hedgerow condition assessment You can choose how to complete this action€™s hedgerow condition assessment. It could be a simple survey. You can do a hedgerow condition assessment at any time of year because you€™re assessing the hedgerow€™s structure, not species. However, you may find it easier to see your hedgerow€™s structure during the winter months, when there is less foliage. You may find it helpful to read the People€™s Trust for Endangered Species ( PTES ) guidance on surveying to assess hedgerow condition . Producing a written hedgerow condition assessment record You can choose how to record the written hedgerow condition assessment. There€™s no standard format. It can be on paper or digital. You may find it helpful to use the PTES Healthy Hedgerows Survey online tool to help you do this action. It€™s a rapid hedgerow health checking survey which is available as an app for mobile phones, or you can complete the survey on paper . If you use this tool, it may generate more hedgerow management options than are available in the SFI actions you can do on hedgerows. If this is the case, make sure you do what€™s required in the relevant SFI action.</t>
  </si>
  <si>
    <t>CHRW1 - Assess and record hedgerow condition</t>
  </si>
  <si>
    <t>CNUM3</t>
  </si>
  <si>
    <t>Legume fallow</t>
  </si>
  <si>
    <t>This action€™s aim is that there€™s an established legume fallow with plants that: grow and flower from late spring and during the summer months provide green cover over the winter months The purpose of this is to: manage nutrient efficiency and improved soil health provide food for farmland wildlife, such as pollen and nectar for pollinators and farmland birds support an integrated pest management approach by reducing grass weeds and, if located close to cropped areas, encourage natural crop pest predators</t>
  </si>
  <si>
    <t>there€™s an established legume fallow with plants that: grow and flower from late spring and during the summer months provide green cover over the winter months T</t>
  </si>
  <si>
    <t>manage nutrient efficiency and improved soil health provide food for farmland wildlife, such as pollen and nectar for pollinators and farmland birds support an integrated pest management approach by reducing grass weeds and, if located close to cropped areas, encourage natural crop pest predators</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</si>
  <si>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Arable land used to grow crops Arable land Land use codes for arable crops or leguminous and nitrogen-fixing crops Temporary grassland Arable land TG01 Arable land lying fallow Arable land FA01 Permanent crops horticultural Permanent crops TC01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Total or part of the available area in a land parcel. Rotational or static action This action is rotational or static. This means you can either: move its location for the second and third years of this action€™s duration do it at the same location each year of this action€™s duration</t>
  </si>
  <si>
    <t>You must establish a legume fallow on land entered into this action. You must use a seed mix which contains at least 6 flowering species, including legumes. The seed mix can contain legumes such as: alsike clover bird€™s foot trefoil black medick common vetch lucerne The seed mix can also include: non-legume flower species grasses, such as cocksfoot or timothy, which can help to control blackgrass You must avoid growing deep rooted legumes, such as lucerne, on any area in a land parcel that contains historic or archaeological features. These are identified in your SFI HEFER . Once the legume fallow is established (usually from the second spring after sowing), you must maintain it. To do this, you must manage it in a way, and for a period of time, that can reasonably be expected to achieve this action€™s aim. You must not do the following on the established legume fallow: graze it with livestock if you want to do this you may want to consider action CSAM3 (herbal leys) instead which allows grazing activity use the area for regular vehicular access, turning or storage (for example, storing bales or machinery) cut it, except to prevent blackgrass from setting seed or to control other annual grass weeds apply any fertilisers and manures apply pesticides, except for herbicides to weed wipe or spot treat to control injurious weeds , invasive non-native species , or nettles You can maintain an existing legume fallow to get paid for this action if it: meets this action€™s requirements is not already being paid for under another environmental land management scheme option, such as Countryside Stewardship ( CS ) option AB15 (two year sown legume fallow)</t>
  </si>
  <si>
    <t>You must: establish the legume fallow by the autumn, within 12 months of this action€™s start date maintain the legume fallow at the same location for a period of time that can reasonably be expected to achieve this action€™s aim this will usually be until the end of the second summer after sowing re-establish the legume fallow by the following autumn (either at the same location or a different location) and maintain it until this action€™s end date If you want to establish a legume fallow in the spring and remove it in the summer during the same year, you should apply for spring-sown or summer-sown cover crops actions (SOH2 or SOH3).</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</si>
  <si>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OFC3, OFC4, OFC5, OFM4, OFM5, OFM6, AGF1, AGF2, PRF2, CIPM1, CNUM1, CSAM1 SFI 2023 actions IPM1, NUM1, SAM1 CS options OR3, OR4, OR5, OT3, OT4, OT5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</si>
  <si>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a seed mix This action explains the minimum requirement for flowering species, including legumes, in the seed mix (under €˜What to do€™). Your seed supplier can help you choose a seed mix that€™s the best match for your land and local conditions. Where to sow the seed mix When you sow the seed mix, it can help to use sites: that receive plenty of sunlight, for better foraging habitat for pollinators and other beneficial insects where you wish to control grass weeds, such as blackgrass where soil health and compaction need improving where you want to reduce soil run-off during winter where you want to reduce your fertiliser use€¯in the following crop Try to avoid sowing the seed mix on sites that are: difficult to access and manage (like remote field corners) known to contain rare arable wildflowers known to support injurious and other broad-leaved weeds which can be difficult to control, such as common ragwort, creeping thistle, spear thistle, broad-leaved dock, curled dock Spreading the legume fallow areas across the farm can help to provide a network of habitats for farmland wildlife. How and when to sow the seed mix Your seed supplier can advise you on an overall sowing rate for the seed mix you choose. It can help the seeds to germinate if they€™re sown: into a consolidated seedbed that€™s firm, fine, level and weed free when the weather and soil moisture is best for the crops in your seed mix€¯€“ this is usually spring or autumn, but it will be easier to control grass weeds in spring-sown fallows You can either: broadcast the seeds onto the surface of the seedbed to help germination shallow-drill the seeds up to a depth of 1 centimetre (cm) - small seeds usually struggle to germinate when sown deeper than 1cm After you have sown the seed mix (if the soil is dry enough), you can roll the seeds to: improve seed-to-soil contact keep moisture reduce the risk of slug damage During establishment of the sown legume fallow In the first few months after sowing, it€™s advisable to check the area for successful germination and pest damage. If establishment is poor, you may need to re-sow part or all the area. Your seed supplier can help you if you€™re unsure what to do. Maintaining established areas of legume fallow Once the area is established, you can maintain it by managing it in a way that could reasonably be expected to achieve this action€™s aim. During the first spring and summer after sowing, you can control annual grass weeds, such as blackgrass, by: cutting as soon as it starts to produce seed heads doing follow up cuts as necessary to remove further seed heads During the second year after sowing, you can control blackgrass by: cutting between March and mid-June leaving the area uncut for around 8 weeks between June and August this will help to allow plants to flower for as long as possible to provide pollen and nectar for insects Check the area for signs of nesting birds before you cut it. Birds, nests and eggs are protected by law , so if you see signs of nesting birds, delay cutting until the birds fledge Remove the cut vegetation (where possible) to limit weeds and reduce the risk of it smothering the flower species. If this is impractical, you can finely chop the vegetation to spread them as thinly as possible.</t>
  </si>
  <si>
    <t>CNUM3 - Legume fallow</t>
  </si>
  <si>
    <t>GRH11</t>
  </si>
  <si>
    <t>Cattle grazing supplement (non-moorland)</t>
  </si>
  <si>
    <t>This action€™s aim is that an annual average of at least 60% of the grazing livestock units ( GLU ) on the grassland are cattle. The purpose of this is to: create a more varied sward structure control scrub, bracken and coarse vegetation increase wildlife diversity</t>
  </si>
  <si>
    <t>an annual average of at least 60% of the grazing livestock units ( GLU ) on the grassland are cattle. T</t>
  </si>
  <si>
    <t>create a more varied sward structure control scrub, bracken and coarse vegetation increase wildlife diversity</t>
  </si>
  <si>
    <t>You can only do this supplemental action on eligible land that€™s entered into one of the following base actions: CLIG3: Manage grassland with very low nutrient inputs€¯(or LIG1 and LIG2 in the SFI 2023 offer) GRH1: Manage rough grazing for birds GRH6: Manage priority habitat species-rich grassland You cannot do this action on land that€™s already entered into the following equivalent base actions in a Countryside Stewardship agreement: GS2 (permanent grassland with very low inputs outside SDAs ) or GS5 (permanent grassland with very low inputs SDAs ) UP2 (management of rough grazing for birds) Eligibility of protected land Protected land Eligibility Sites of special scientific interest ( SSSIs ) Same as your selected base action Historic and archaeological features Same as your selected base action Available area you can enter into this action Same as or less than your selected base action. Rotational or static action This action is rotational or static. This means you can either: move its location around the land entered into the relevant base action for the second and third years of this action€™s duration do it at the same location each year of this action€™s duration</t>
  </si>
  <si>
    <t>Each year, an average of at least 60% of the GLU on land entered into the relevant base action must be cattle. You must keep a written stocking record for each land parcel entered into this action. The record must include: the land parcel reference number and its hectarage the dates when grazing has taken place during each calendar month the monthly numbers of livestock, including their type and age bracket To convert livestock numbers into GLU , you must use the following values: Cattle over 2 years old at the start of an agreement year 1.0 GLU Cattle over 6 months to 2 years old at the start of an agreement year €“ 0.6 GLU Lowland ewe and lamb, or ram €“ 0.12 GLU Store lamb, hill ewe and lamb or hogg or teg 0.08 GLU Goat €“ 0.12 GLU Pony or donkey €“ 0.8 GLU Horse €“ 1.0 GLU Read the €˜advice to help you do this action€™ to find out how to calculate the livestock density.</t>
  </si>
  <si>
    <t>You must keep the required stocking record and supply this evidence if we ask for it. It can be recorded on paper or electronically.</t>
  </si>
  <si>
    <t xml:space="preserve"> Cattle breeds You can choose what breed of cattle you use to graze your land for this action. It may be helpful to use: cattle with low nutritional requirements (such as dry suckler cows) for sites with fibrous herbage mature, placid cattle are best suited for sites where there are ground-nesting birds, as they can reduce the risk of trampling Timing of grazing You can graze different habitat types at different times of year, with a range of cattle numbers (as long as you do not exceed the average GLU required by this action).</t>
  </si>
  <si>
    <t>GRH11 - Supplement: Cattle grazing (non-moorland)</t>
  </si>
  <si>
    <t>CHRW3</t>
  </si>
  <si>
    <t>Maintain or establish hedgerow trees</t>
  </si>
  <si>
    <t xml:space="preserve">per 100 metres </t>
  </si>
  <si>
    <t>(m) for both sides of an eligible hedgerow per year</t>
  </si>
  <si>
    <t>This action€™s aim is that there are hedgerow trees maintained or established. The purpose of this is to provide: habitat for wildlife carbon storage benefits</t>
  </si>
  <si>
    <t>there are hedgerow trees maintained or established. T</t>
  </si>
  <si>
    <t>provide: habitat for wildlife carbon storage benefits</t>
  </si>
  <si>
    <t>An eligible hedgerow for this action must be: a boundary line of shrubs, or both shrubs and trees over 20m long less than 10m wide The hedgerow can be: newly planted, laid or coppiced woody growth on top of an earth or stone-faced bank, for example, Cornish or Devon hedges There can be gaps in the hedgerow if they€™re not more than: 20m long 10% of the total length of the relevant hedgerow when you add all the gaps in it together If the gaps add up to more than 10%, you can only do the action on the total length of the hedgerow if you€™ll plant up the gaps during this action€™s 3-year duration. You can apply for Capital Grants for hedgerow gapping up (BN7) and planting new hedges (BN11) to help you do this. You can only do this action on both sides of an eligible hedgerow. This means you must have management control of both sides of the hedgerow. You can enter both sides of a roadside hedgerow, or a hedgerow that borders a neighbour€™s land, if you meet both of the following: you have a legal right or obligation to maintain the hedgerow you can meet this action€™s requirements Eligibility of protected land Protected land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Not applicable, as this is a linear action you can choose what length of eligible hedgerows to enter into this action. Rotational or static action This action is static. This means you must do it at the same location each year of this action€™s duration.</t>
  </si>
  <si>
    <t>You must make sure there€™s an average of at least 1 hedgerow tree per 100m over the total length of hedgerows entered into this action. This means some 100m lengths can contain no trees, as long as you meet this average. You can do this action by: maintaining existing trees growing within the hedgerow establishing new hedgerow trees To establish a new hedgerow tree, you must either: select an existing sapling in the hedgerow with a single straight stem plant a new sapling you can apply for Capital Grants to plant a hedgerow tree (TE1) and protect it with a tree guard (TE6) You must identify each newly established hedgerow tree by tagging it or using another method to identify it clearly, so it can be avoided when managing the hedgerow. You can include dead and dying trees when counting how many hedgerow trees are in a given length of hedgerow. This decaying wood can provide a habitat for invertebrates, nesting birds and bats. This does not include newly planted tree saplings that die before they become established. You must not damage the hedgerow trees, or cut them unless there€™s a clear need, for example: to prolong the life of the tree for health and safety reasons (such as removing branches that pose a risk to people) because it€™s a tradition in the local landscape (such as coppicing or pollarding willow)</t>
  </si>
  <si>
    <t>You must have done this action by the end of this action€™s 3-year duration, so it meets the requirements explained above.</t>
  </si>
  <si>
    <t>You can do the following actions or options in land parcels with eligible boundaries entered into this action. Scheme Action or option codes SFI 2024 actions All SFI 2024 actions, except BND1 SFI 2023 actions All SFI 2023 actions, except HRW3 CS options All CS management options, including BE3 (management of hedgerows) ES options All ES revenue options, except boundary options SFI pilot standards All SFI pilot standards, except the SFI pilot hedgerows standard</t>
  </si>
  <si>
    <t xml:space="preserve"> How to establish new hedgerow trees To establish new trees in hedgerows, you can: select an existing sapling in the hedgerow try to choose undamaged stems that are growing straight up all the way from the base, as these are more likely to produce a good, strong trunk plant a new sapling If possible, try to: plant or select a mix of different, site-suited species to support a wider variety of wildlife avoid planting ash, because of ash dieback disease use tree guards to protect the trees from browsing animals, such as deer, and grazing animals avoid planting or selecting a sapling beneath or near to (around 20 metres) overhead powerlines avoid planting or selecting a sapling where it might obstruct roads, tracks or rights of way Planting new saplings If you€™re planting new saplings in a hedgerow, it€™s usually best to do this between November and March, when they€™re dormant and can be supplied bare-root. On drier sites, planting at the start of winter can give the roots more time to establish. Planting at the end of winter on wetter sites can help stop the roots from rotting in the wet ground. When you€™re planting new saplings in the hedgerow, try to: choose a local source, to avoid the risk of introducing alien pests and diseases you can use the Plant Healthy website to help you choose a source plant in existing gaps in the hedgerow, so there€™s less competition from existing plants alternatively, plant into small gaps cut into the hedgerow if there are no existing gaps plant them far enough apart (usually at least 20m) from existing trees so they do not shade or compete with them once they mature plant them far enough away from boundary walls so they€™re not damaged by the tree as it grows stake trees which are more than 1m tall for their first year keep the area immediately around the sapling weed-free until it€™s established water them during dry spells or if they show any signs of wilting Before you plant a hedgerow tree: check if there are any regulatory restrictions which may affect this €“ read section 10 €˜Get all necessary regulatory consents, permissions and licences in place€™ in the SFI scheme information for more details if you€™re a tenant, check whether your tenancy agreement allows you to complete what€™s required How to identify newly established hedgerow trees This action requires you to identify each newly established hedgerow tree. This is so anyone trimming or flailing the hedgerow can avoid the tree. To identify a hedgerow tree, you can tag it by: using brightly coloured, durable material putting a tagged stick near it, if the tree is difficult to reach putting a clearly visible stake in the hedge next to the tree It€™s advisable to check the trees each year to make sure the tags (or other method of identification) are still in place, replacing them as necessary. Protecting hedgerow trees from damage This action requires you not to damage hedgerow trees. Hedgerow trees may be damaged by: how you manage the land around the tree most tree roots usually grow up to a depth of around 30 centimetres and can spread to several times the width of the canopy livestock they can compact the soil and strip the bark farm machinery You can manage the area around the tree to help protect the roots and the structure of the soil they€™re growing in. For example, you can: control scrub and tall vegetation, as these can compete with the tree roots apply a mulch, such as wood chips, which can help to relieve soil compaction and control weeds You can also prevent livestock from compacting the soil and stripping the bark, which can damage the trees. Cutting hedgerow trees This action allows you to cut back a hedgerow tree if there€™s a clear need (you can find examples of what this means under €˜What to do€™). If you need to cut hedgerow trees: before you cut them, check if there are any regulatory restrictions which may affect what you€™re intending to do for example, if you need a tree felling licence (read section 10 €˜Get all necessary regulatory consents, permissions and licences in place€™ in the SFI scheme information for more details) employ a qualified tree surgeon prune the trees during the winter months when they are dormant (unless you€™re pruning for health and safety reasons, which you can do at any time) avoid pruning when the trees are in active growth in the spring If possible, try to leave cut branches or piles of dead wood to help provide habitat for wildlife.</t>
  </si>
  <si>
    <t>CHRW3 - Maintain or establish hedgerow trees</t>
  </si>
  <si>
    <t>WBD1</t>
  </si>
  <si>
    <t>Manage ponds</t>
  </si>
  <si>
    <t>This action€™s aim is that there€™s a pond containing clear and clean water with: a range of semi-aquatic vegetation allowed to develop around the pond edge submerged and floating pond plants submerged or partially submerged deadwood The purpose of this is to: increase biodiversity help improve water quality provide habitats for native aquatic species</t>
  </si>
  <si>
    <t>there€™s a pond containing clear and clean water with: a range of semi-aquatic vegetation allowed to develop around the pond edge submerged and floating pond plants submerged or partially submerged deadwood T</t>
  </si>
  <si>
    <t xml:space="preserve"> increase biodiversity help improve water quality provide habitats for native aquatic species</t>
  </si>
  <si>
    <t>You can do this action on eligible ponds located on land that€™s: an eligible land type (as defined in section 5.1 €˜Eligible land types for SFI €™ in the SFI scheme information) registered with an eligible land cover on your digital maps declared with a land use code which is compatible with the eligible land cover An eligible pond for this action must be: more than 25 square metres up to 2ha (at the point you apply for an SFI agreement) under your management control this includes the whole of the pond edge and the water in the pond The following ponds are not eligible for this action: ponds used for wastewater, treated effluent discharge activities or road drainage sediment ponds, basins, traps or lagoons balancing ponds ponds which are largely or fully synthetically lined ponds which are likely to need fully draining during this action€™s duration, such as irrigation ponds and fire water ponds aquaculture ponds Eligible land Eligible land type Eligible land cover Compatible land use code Pond Pond WF03 Eligibility of protected land Protected land Eligibility Sites of special scientific interest ( SSSIs ) Ineligible you must not enter ponds into this action that are on an area that€™s designated as an SSSI Historic and archaeological features Eligible you must get a SFI HEFER before you do this action (read section 5.6€¯€™Land with historic or archaeological features€™ in the SFI scheme information to find out how to do this) Available area you can enter into this action Not applicable. You€™ll enter the number of ponds. Rotational or static action This action is static. This means you must do it at the same location each year of this action€™s duration.</t>
  </si>
  <si>
    <t>You must manage the pond in a way that can reasonably be expected to achieve this action€™s aim, including: controlling scrub around the pond edge by lightly cutting it or grazing it with livestock to encourage a range of semi-aquatic vegetation to develop trying to avoid livestock trampling and poaching the pond edge which can make the water turbid (cloudy) You must not: deepen or change the pond€™s original profile, including filling it in artificially introduce plants or animals to the pond, including fish or waterfowl allow supplementary feeding of fish feed waterfowl if there€™s public access to the pond, try to discourage wildfowl feeding add dyes to the water</t>
  </si>
  <si>
    <t>You must keep evidence to show what you€™ve done to complete this action, such as: pond management operations at a land parcel level and associated invoices photographs and other documentation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</si>
  <si>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No SFI 2024 actions SFI 2023 actions No SFI 2023 actions CS options No CS management options ES options No ES options SFI pilot standards No SFI pilot standards If an action or option cannot be located on the same area, you may be able to do it on a different area in the same land parcel. Read section 6. €˜Eligible land in other funding schemes€™ in the SFI scheme information for more details.</t>
  </si>
  <si>
    <t xml:space="preserve"> Managing your pond Your pond is more likely to contain clear and clean water if you: block or remove any artificial drainage flowing into it, so it does not receive polluted water prevent fertiliser, manures, pesticides, herbicides and soil run-off from reaching the pond establish a buffer strip around the pond you can apply for BFS2 ( buffer in-field ponds on arable land ) or BFS3 ( buffer in-field ponds on improved grassland ) to help you do this To manage the margin around the pond edge, you can: control scrub and other woody growth to provide mainly €˜open€™ unshaded habitat (especially on the southern side of the pond) this will allow in plenty of light retain occasional mature trees, low scrub and bramble to help provide nectar and cover for wildlife retain some patches of existing habitat for wildlife (such as leaf litter, logs and woody debris) The best time of year for you to complete pond management works is between September and November, when water levels are low and dry ground conditions make it easy to work in and around ponds. You can then let nature colonise the pond after any works. If protected species are likely to be present, check if you need to get a wildlife licence before you complete pond management works. Read section 10.4 €˜Wildlife licences for protected species€™ in the SFI scheme information. If you€™re managing more than one pond, you may want to establish a rotational management system. You can then manage different ponds in different years including any surrounding scrub, trees and pond vegetation. Natural ponds will usually have fluctuating water levels throughout the year and a drawdown €˜muddy€™ zone that€™s valuable for wildlife. Seasonal ponds (which are dry for part of the year) are also important to create a mosaic of ponds across the landscape. They are less likely to support fish, which can predate amphibians and invertebrates. Preventing or limiting livestock access to the water edge will avoid poaching and help maintain vegetation cover and water quality. You may find it helpful to read: Farm Wildlife€™s guidance on managing ponds the Freshwater Habitats Trust and the University College of London€™s €˜Guide to the restoration, creation and management of ponds: Bringing ponds to life€™</t>
  </si>
  <si>
    <t>WBD1 - Manage ponds</t>
  </si>
  <si>
    <t>Plot(s)</t>
  </si>
  <si>
    <t>AHW10</t>
  </si>
  <si>
    <t>Low input harvested cereal crop</t>
  </si>
  <si>
    <t>This action€™s aim is that there€™s a low input, open-structured cereal crop growing: in strips or plots during the spring and summer months until it€™s harvested The purpose of this is to: enable wildflower species to grow within the crop provide summer foraging sites for declining and localised farmland birds, such as yellowhammer and reed bunting provide habitat for skylarks, farmland wildlife and pollinator species</t>
  </si>
  <si>
    <t>there€™s a low input, open-structured cereal crop growing: in strips or plots during the spring and summer months until it€™s harvested T</t>
  </si>
  <si>
    <t xml:space="preserve"> enable wildflower species to grow within the crop provide summer foraging sites for declining and localised farmland birds, such as yellowhammer and reed bunting provide habitat for skylarks, farmland wildlife and pollinator species</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</si>
  <si>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Arable land used to grow crops (not maize) Arable land Land use codes for arable crops or leguminous and nitrogen-fixing crops Temporary grassland Arable land TG01 Arable land lying fallow Arable land FA01 Eligibility of protected land Protected land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Total or part of the available area in a land parcel. Rotational or static action This is a rotational or static action this means you can either: move its location for the second and third years of this action€™s duration do it at the same location each year of this action€™s duration</t>
  </si>
  <si>
    <t>You must establish an autumn or spring cereal crop (not maize): in strips or plots at a seed rate that€™s reduced to a level that can reasonably be expected to achieve this action€™s aim As long as this action€™s aim can reasonably be expected to be achieved, you can: undersow a seed mix into the spring cereal crop use a blend or mix of cereals Once the cereal crop is established, you must manage it in a way that can reasonably be expected to achieve this action€™s aim until it€™s harvested. You must not: harvest the crop before it can reasonably be expected to achieve this action€™s aim (usually not before around mid-July) apply insecticides after around mid-March, until the crop is harvested You must not apply herbicides, apart from those containing the following permitted active ingredients: amidosulfuron clodinafop-propargyl fenoxaprop-P-ethyl pinoxaden tri-allate It may not be possible for you to use these permitted active ingredients on all crops. It€™s your responsibility to confirm whether herbicides are approved for use on the affected crop. You can use an existing cereal crop to get paid for this action if it: meets this action€™s requirements is not already being paid for under another environmental land management scheme action or option, such as Countryside Stewardship ( CS ) option AB14 (harvested low input cereal)</t>
  </si>
  <si>
    <t>You must do this action each year of its 3-year duration. If this action€™s start date means it€™s too late to establish the cereal crop, you must establish it within 12 months of this action€™s start date. In the final year of this action€™s duration, you must do this action until the crop is harvested or this action€™s end date, whichever is earlier.</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</si>
  <si>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AHW6, OFA1, OFC3, OFM4, AGF1, AGF2, PRF1, PRF2, PRF3, PRF4, SOH1, CIPM1, CNUM1, CSAM1, CSAM2 SFI 2023 actions IPM1, NUM1, SAM1, SAM2 CS options AB2, AB5, AB6, AB9, HS3, HS9, SW6, OP1, OR3, OT3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</si>
  <si>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a cereal crop It€™s up to you which cereal crop (not maize) to use for this action. If you€™re undersowing a seed mix into the spring cereal crop, you can sow it either: at the same time as the spring cereal crop, using a mix of cereal and companion crops (including pulse crops, such as field beans, lupins and combining peas) as a separate pass into the spring cereal crop Undersowing the spring cereal crop with a flowering companion crop mix can provide flower and insect-rich foraging habitat for farmland birds and pollinator species. If you€™re using a blend or mix of cereals, it can include crops such as: barley oats red millet rye triticale wheat white millet Choosing the right location The best sites are those with low levels of pernicious weeds such as: blackgrass couch brome ryegrass wild oats How to sow the crop To help you achieve this action€™s aim, you can sow your cereal crop strips or plots at a seed rate that€™s either: around 50% to 60% of the normal seed rate to a maximum of around 100 kilograms (kg) per hectare (ha) for barley, oats, rye, triticale and wheat it€™s usually between 70kg and 100kg per ha; for red and white millet crops it€™s usually between 10kg and 15kg per ha It may also help if you sow your crop with wider spacing (for example, between 20cm and 25cm) between the rows. To minimise damage to plants and wildlife you can: avoid carrying out in-crop mechanical activities between May and harvest sow your crop by the end of April, where possible</t>
  </si>
  <si>
    <t>AHW10 - Low input harvested cereal crop</t>
  </si>
  <si>
    <t>SOH3</t>
  </si>
  <si>
    <t>Multi-species summer-sown cover crop</t>
  </si>
  <si>
    <t>This action€™s aim is that there€™s a well-established summer-sown multi-species cover crop which is present between harvesting a cash crop, until either: the next cash crop is sown a winter cover crop is sown The purpose of this is to: protect the soil surface provide root growth that benefits soil structure, supports soil biology and minimises nutrient leaching, soil erosion and runoff add organic matter</t>
  </si>
  <si>
    <t>there€™s a well-established summer-sown multi-species cover crop which is present between harvesting a cash crop, until either: the next cash crop is sown a winter cover crop is sown T</t>
  </si>
  <si>
    <t xml:space="preserve"> protect the soil surface provide root growth that benefits soil structure, supports soil biology and minimises nutrient leaching, soil erosion and runoff add organic matter</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</si>
  <si>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Arable land used to grow crops, excluding temporary grassland Arable land Land use codes for arable crops or leguminous and nitrogen-fixing crops Arable land lying fallow Arable land FA01 Horticultural permanent crops Permanent crops TC01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Total or part of the available area in a land parcel. Rotational or static action This action is rotational or static. This means you can either: move its location for the second and third years of this action€™s duration do it at the same location each year of this action€™s duration</t>
  </si>
  <si>
    <t>You must establish a multi-species cover crop mix during the summer months (usually between June and August) which will not be harvested as a cash crop. A €˜cash crop€™ means a crop grown to be harvested for commercial use. You must use a rapid growing seed mix that contains at least 4 species. This must include 2 species from two or more of the following plant families: brassicas legumes cereals and grasses, with grasses making up no more than 25% of the total mix by weight herbs The seed mix must not contain: Japanese reed millet maize miscanthus or reed canary grass sorghum (all varieties) artichokes sweet fennel You must avoid growing deep rooted species on any area within a land parcel with historic or archaeological features identified in your SFI HEFER . Read section 5.6€¯€˜Land with historic or archaeological features€™ in the SFI scheme information for more details. You must maintain the multi-species cover crop in a way, and for a period of time, that can reasonably be expected to achieve this action€™s aim. For the purposes of this action€™s aim, the cover crop will be well-established if there€™s: leafy vegetation that€™s sufficiently well grown to protect the soil surface minimal bare soil You must not do the following on the well-established cover crop: cut it or graze it with livestock (other than when destroying the cover crop) mechanically apply any fertilisers or manures destroy it more than 2 weeks before you intend to establish the next main crop When you destroy the cover crop, you should try to minimise risks such as compaction, poaching, soil runoff or erosion. If something happens which means you cannot complete this action, you must tell the Rural Payments Agency about this in writing as soon as possible. For example, if there€™s prolonged adverse weather. Read section 13.2: €˜What you must do if you cannot comply with your agreement€™ in the SFI scheme information to find out how to do this. You must not use the following to meet this action: a multi-species temporary grass ley, such as a mix of grass and clover, that is being used for grazing a multi-species crop which you intend to harvest as a cash crop, such as a mix of wheat and clover You can only use an existing multi-species cover crop to meet this action€™s requirements if you overseed it. This includes a cover crop already paid for under an environmental land management scheme action, such as SOH2 (multi-species spring-sown cover crop).</t>
  </si>
  <si>
    <t>You must do this action each year of its 3-year duration. If this action€™s start date means it€™s too late for you to do this action, you must start doing it within 12 months of the action€™s start date. In the final year of this action€™s duration, you must do this action until the next main crop is sown, or this action€™s end date, whichever is earlier.</t>
  </si>
  <si>
    <t>You must keep evidence to show what you€™ve done to complete this action, such as: field operations at a land parcel level and associated invoices, including details of the seed mix used photographs and other documentation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</si>
  <si>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AHW6, OFA1, OFA6, OFC3, OFC4, OFM4, OFM5, AGF1, AGF2, PRF1, PRF2, PRF3, PRF4, SOH1, SOH2, CAHL2, CIPM1, CIPM3, CIPM4, CNUM1, CSAM1, CSAM2 SFI 2023 actions AHL2, IPM1, IPM3, IPM4, NUM1, SAM1, SAM2 CS options AB2, AB9, HS3, HS9, SW5, SW6, OP1, OP5, OR3, OR4, OT3, OT4 ES options No ES revenue options SFI pilot standards No area-based SFI pilot standards If an action or option cannot be located on the same area, you may be able to do it on a different area in the same land parcel. See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</si>
  <si>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Growing cover crops on land used for permanent horticultural crops If you€™re doing this action on land used to grow permanent horticultural crops, you can plant cover crops: around fruit or nut trees between rows of trees Choosing a seed mix This action explains the minimum requirement for species in the seed mix (under €˜What to do€™). Table 1 shows examples of what you could use. Table 1: Species you could use Plant family Species Brassicas Yellow mustard, brown mustard, oil radish, tillage radish, stubble turnip, kale Legumes Common vetch, hairy vetch, red clover, white clover, alsike clover, sweet clover, crimson clover, lucerne, black meddick, peas and beans Cereals or grasses Italian ryegrass, festulolium, black oats, forage rye, barley, winter triticale Herbs Phacelia, buckwheat, linseed Choosing a varied mix (with multiple species from different plant families and with different characteristics) will normally bring greater benefits to your soil. If you€™re in an area with a shorter growing season, you may need to choose plants that germinate and grow in cooler weather. Your seed supplier can help you choose a seed mix that€™s the best match for your land and local conditions. You may find it helpful to read the Agriculture and Horticulture Development Board ( AHDB ) information sheet about cover crops . How to sow the cover crop Your seed supplier can advise you on an overall sowing rate for the seed mix you choose. You can drill or broadcast the seed mix. Drilling seeds is usually more reliable and gives a higher germination success than broadcasting. However, broadcasting is cheaper. After you have sown the seed mix you can roll the seeds if the soil is dry enough. This can help to: improve seed-to-soil contact retain moisture reduce the risk of slug damage Maintaining the cover crop The cover crop will usually provide the most benefits to your soil if you maintain it for a period of at least around 8 consecutive weeks. However, this may differ depending on your crop rotation and geographical location. How to destroy the cover crop If you€™re destroying the multi-species cover crop, you can choose what method you use. Improving soil health You can increase the benefits to soil of cover crops by combining them with: minimum tillage or no tillage (€˜no-till€™) systems you may want to consider SOH1: No-till farming organic farming there are several SFI actions which support this (search €˜organic€™ in the €˜Find funding for land or farms€™ tool)</t>
  </si>
  <si>
    <t>SOH3 - Multi-species summer-sown cover crop</t>
  </si>
  <si>
    <t>CIGL2</t>
  </si>
  <si>
    <t>Winter bird food on improved grassland</t>
  </si>
  <si>
    <t>This action€™s aim is that there€™s improved grassland, which is maintained so it€™s left to go to seed during the autumn and winter months. The purpose of this is to provide winter food for farmland birds.</t>
  </si>
  <si>
    <t>there€™s improved grassland, which is maintained so it€™s left to go to seed during the autumn and winter months. T</t>
  </si>
  <si>
    <t>provide winter food for farmland birds.</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</si>
  <si>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This is a €˜limited area€™ action. The total eligible area you enter into any combination of one or more of the €˜limited area€™ actions must not be more than 25% of the total agricultural area of your farm. Read section 1.3 €˜ SFI actions with a limited area€™ in the SFI scheme information for more details (including a list of the €˜limited area€™ actions). Eligible land Eligible land type Eligible land cover Compatible land use code Temporary grassland Arable land TG01 Improved permanent grassland Permanent grassland PG01 Eligibility of protected land Land or features with protection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Part of the available area in a land parcel. Rotational or static action This action is rotational or static. This means you can either: move its location for the second and third years of this action€™s duration do it at the same location each year of this action€™s duration</t>
  </si>
  <si>
    <t>You must maintain improved grassland entered into this action. To maintain the improved grassland, you must manage it in a way that can reasonably be expected to achieve this action€™s aim. This includes: cutting it for silage or hay in a way that allows it to go to seed leaving it un-grazed after the final cut for silage and hay If you€™re already maintaining improved grassland, you can use it to get paid for this action if it: meets this action€™s requirements is not already being paid for under another environmental land management scheme option, such as Countryside Stewardship ( CS ) option GS3 (ryegrass seed-set as winter food for birds)</t>
  </si>
  <si>
    <t>If you€™re doing this action on the same area of land for its 3-year duration, you must: start maintaining the improved grassland within 12 months of this action€™s start date continue to maintain the area of improved grassland in each subsequent year of this action€™s duration If you€™re rotating this action around your farm, each year of this action€™s duration you must do the actions for a period of time that can reasonably be expected to achieve this action€™s aim.</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</si>
  <si>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OFC1, OFC3, OFM1, OFM4, AGF1, AGF2, PRF1, PRF2, CIPM1, CNUM1, CSAM1, SOH1 SFI 2023 actions IPM1, NUM1, SAM1 CS options HS3, HS9, OR1, OR3, OT1, OT3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</si>
  <si>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Maintaining improved grassland to provide winter bird food To maintain the improved grassland, this action requires you to manage it in a way that could reasonably be expected to achieve this action€™s aim. This includes: cutting it for silage or hay in a way that allows it to go to seed leaving it un-grazed after the final cut for silage and hay Where to locate the winter bird food To provide winter bird food, it will help if you use sits with a high cover (for example, at least 50% of the area) of perennial, Italian or hybrid ryegrass. It will benefit more birds if you have a number of winter bird food areas spaced as evenly as possible across your land. For example, you could space 5 blocks of, for example, at least 0.5 hectares (ha) across 100ha. You can use a range of locations to provide winter bird food for a wider range of bird species. For example: near hedgerows for birds, such as tree sparrows and yellowhammers away from hedgerows for open-country birds such as skylarks, corn buntings and grey partridges If you€™re using field edge strips, it€™ll usually help if those are at least 10 metres (m) wide and located away from busy roads. Managing improved grassland to provide winter bird food Leaving the improved grassland uncut and un-grazed in the summer will help to produce adequate seed during the autumn and winter months. The timing of when to do this will depend on which ryegrass species dominates the sward. You can usually cut and graze: perennial ryegrass until late May Italian and hybrid ryegrass until late June Once cutting or grazing has stopped, try to minimise access by people, animals and vehicles. This will help to avoid the grass being trampled and producing a grass mat, which can make it difficult for the birds to access the seeds. If you€™re leaving the ryegrass in place, you can improve next year€™s yield by either: harrowing the field, providing it does not contain historic or archaeological features cutting the field and removing the cuttings You can also continue to use fertiliser (where necessary) to help produce a good growth of grass.</t>
  </si>
  <si>
    <t>CIGL2 - Winter bird food on improved grassland</t>
  </si>
  <si>
    <t>AHW2</t>
  </si>
  <si>
    <t>Supplementary winter bird food</t>
  </si>
  <si>
    <t>per tonne per year</t>
  </si>
  <si>
    <t>maximum of 1 tonne of supplementary winter bird food (action AHW2) for every 2 hectares (ha) of winter bird food (action CAHL2 in the expanded SFI offer or AHL2 in the SFI23 offer).</t>
  </si>
  <si>
    <t>This action€™s aim is that over the winter until mid-spring there€™s a mix of seeds spread on the ground at multiple feeding areas. The purpose of this is to provide seed-eating farmland birds with supplementary food when: seed is in short supply in the late winter period (known as the hungry gap) their breeding season starts in early spring</t>
  </si>
  <si>
    <t>over the winter until mid-spring there€™s a mix of seeds spread on the ground at multiple feeding areas. T</t>
  </si>
  <si>
    <t>provide seed-eating farmland birds with supplementary food when: seed is in short supply in the late winter period (known as the hungry gap) their breeding season starts in early spring</t>
  </si>
  <si>
    <t>You can only apply for this action if CAHL2 (winter bird food) or AHL2 in the SFI23 offer is included in your agreement. This action is not available for equivalent actions in a Countryside Stewardship agreement. This includes: OP2 (wild bird seed mixture) AB9 (winter bird food) You must do this action on land that€™s: firm and free draining, such as farm tracks or hard standing areas close to areas of existing winter bird food, enhanced overwinter stubbles or game cover</t>
  </si>
  <si>
    <t>You must spread a winter supplementary feeding mix in a way that can reasonably be expected to achieve this action€™s aim, including: dividing the total weight of mix as equally as possible between the multiple feeding areas spreading the mix at least once a week from over the winter until mid-spring in the following year (usually from early December to late April) You must use a winter supplementary feeding seed mix that contains both: cereals (not maize) these should make up no more than 70% of the total mix by weight small non-cereal seeds these should make up at least 30% of the total mix by weight, with no individual species being more than 50% of the non-cereal element by weight The small non-cereal seeds element must contain at least 3 of the following species: canary seed linseed oilseed rape red millet sunflowers white millet You must not: use feed hoppers to supply more than around 10% of the seed mix during each feeding period (from later winter to mid-spring) use tailings (small seeds and chaff removed from the harvested crops) in the seed mix You must keep a written €˜feeding diary€™ which includes: details of the mix used, including the weight of the cereals and small non-cereal seeds elements and cost feeding dates method of feeding spreading or hopper amount fed location of feeding areas</t>
  </si>
  <si>
    <t>You must do this action each year of its 3-year duration. If this action€™s start date means it€™s too late for you to do this action, you must start doing it within 12 months of the action€™s start date. In the final year of this action€™s duration, you must do this action until mid-spring, or this action€™s end date, whichever is earlier.</t>
  </si>
  <si>
    <t>You must keep the required written feeding diary. This can be recorded on paper or electronically. You must supply this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</si>
  <si>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Same as base action SFI 2023 actions Same as base action CS options Same as base action ES options Same as base action SFI pilot standards Same as base action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</si>
  <si>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a supplementary feeding seed mix This action explains the minimum requirement for the winter supplementary feeding seed mix (under €˜What to do€™). An example seed mix could include: 50% wheat 20% naked oats 15% white millet 10% oilseed rape 5% sunflower hearts Choosing the right location for feeding areas When planning which feeding areas to use, check you can reach them regularly. This is important if bad weather will cause you problems travelling to them during the winter. When to start spreading the feeding mix It€™s advisable to start spreading the winter supplementary feeding mix before the sown winter bird food runs out. This keeps farmland birds using the areas and prevents a dip in their winter condition. How often to feed This action requires you to feed at least once a week. You can: feed smaller amounts of seed more often, to match the birds€™ consumption stagger feeding over a number of days at different feeding areas This can help to reduce: seed spoilage, so there€™s a fresh supply of food to keep birds healthy the amount of feeding mix eaten by non-target species such as rodents, crows and pigeons this is important when ground feeding or if hoppers are unprotected Try to disperse the seed mix across the feeding area, instead of leaving it in piles. How much to feed This action requires you to divide the total weight of mix as equally as possible between the multiple feeding areas. For example, to supply up to around 500 kilograms (kg) of seed at each feeding area you can spread the mix: so there€™s an average of around 25kg at each feeding area during the feeding period you can vary the amount of seed to match demand, so seed is not left uneaten once a week for 20 weeks you may need to feed for longer if the winter period is extended due to bad weather, so birds are not left with a €˜hungry gap€™ before natural seed resources become available Keeping feeding sites clean It€™s important to keep feeding areas clean for the health of the birds. To minimise the risk of disease and parasites spreading between birds using the feeding areas, you can: not spread the seed mix too thickly or leave it in piles this can encourage the build-up of harmful parasites and attract non-target species such as rats limit the use of feed hoppers spin or scatter the seed mix to avoid creating feed piles or long trails stop feeding if there is a visible build-up of uneaten food you can start again when the seed mix has been eaten move the location of feeding areas regularly</t>
  </si>
  <si>
    <t>AHW2 - Supplementary winter bird food</t>
  </si>
  <si>
    <t>Tonnes</t>
  </si>
  <si>
    <t>BFS6</t>
  </si>
  <si>
    <t>6m to 12m habitat strip next to watercourses</t>
  </si>
  <si>
    <t xml:space="preserve">per hectare </t>
  </si>
  <si>
    <t>€“ calculate the hectarage by: measuring the length of the strip in metres (m) multiplying that length by the relevant width (6m to 12m) to give the area in m 2 dividing that area by 10</t>
  </si>
  <si>
    <t>000 to convert it into ha</t>
  </si>
  <si>
    <t>You can do this action on agricultural land next to a watercourse (ditch, river, stream or canal)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Arable land used to grow crops Arable land Land use codes for arable crops or leguminous and nitrogen-fixing crops Temporary grassland Arable land TG01 Arable land lying fallow Arable land FA01 Improved permanent grassland Permanent grassland PG01 Scrub Scrub ungrazeable WO25 Scrub Notional scrub NF03 Eligibility of protected land Land or features with protection Eligibility Sites of special scientific interest ( SSSIs ) Eligible you must get SSSI consent before you do this action (read section 10.3 €˜ SSSI consent€™ in the SFI scheme information to find out how to do this) Historic and archaeological features Ineligible you must not enter any area with an historic or archaeological feature into this action. This only affects the area where the feature is located in a land parcel. You can apply for this action on the remaining area in the land parcel if it€™s eligible Available area you can enter into this action Part of the available area in a land parcel. Rotational or static action This action is static. This means you must do it at the same location each year of this action€™s duration.</t>
  </si>
  <si>
    <t>You must establish and maintain a habitat strip that: is at least 6m wide and up to 12m wide (on average in each land parcel) it can be more than 12m wide, but you€™ll only be paid for the 12m width buffers a ditch, river, stream or canal To establish the habitat strip, you must do one or a combination of both of the following: allow trees and scrub to regenerate naturally plant a variety of native riparian tree and shrub species You can remove soil compaction to prepare land for this action (if needed). Once the habitat strip is established, you must manage it in a way that can reasonably be expected to achieve this action€™s aim. This includes: cutting woody growth to create and maintain an open canopy along the bank so there€™s dappled shade for the watercourse controlling the spread of injurious weeds, nettles or invasive non-native species removing cut material (when you€™re cutting) to control woody growth or the spread of injurious weeds, nettles or invasive non-native species leaving any standing and fallen deadwood in place, if it€™s safe to do so leaving any mature and veteran trees in place, if it€™s safe to do so You must not do the following on the habitat strip: allow livestock to access use it for regular vehicular access, turning or storage€¯(for example, storing bales or machinery) apply fertilisers or manures apply pesticides, except for herbicides to weed wipe or spot treat to control injurious weeds , invasive non-native species , or nettles create or maintain hard standing, boardwalks or closely mown access routes running parallel to the ditch, river, stream or canal In addition, you must not cut or remove vegetation unless you€™re doing it to: control woody growth or the spread of injurious weeds, nettles or invasive non-native species, maintain existing access routes that are at an angle of 90 degrees to the watercourse help establish the habitat strip on previously arable land You can maintain an existing habitat strip to get paid for this action if it: meets this action€™s requirements is not already being paid for under another environmental land management scheme option, such as Countryside Stewardship ( CS ) option SW11 (riparian management strip)</t>
  </si>
  <si>
    <t>You must: establish the habitat strip within the first 12 months of this action€™s duration maintain the habitat strip throughout each subsequent year of this action€™s duration</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</si>
  <si>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OFC1, OFC3, OFM1, OFM4, CIPM1, CNUM1, CSAM1 SFI 2023 actions IPM1, NUM1, SAM1 CS options SW15, SW16, OR1, OT1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</si>
  <si>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Establishing the habitat strip To establish the habitat strip, you can: sow a grass and herb seed mix where there€™s no ground cover this can help to establish it more quickly and reduce the risk of soil erosion plant native tree and shrub species along the bank and bank top to provide dappled shade to the watercourse this could include species such as alder, willow, sallow or guelder rose To help initial establishment, you may need to control injurious weeds, nettles or invasive non-native species more often over the first few years. Check: if you need permission from the Environment Agency before you apply herbicides near to a watercourse the rules which apply to invasive non-native plant species Managing the habitat strip Once the habitat strip is established, this action requires you to manage it in a way that can reasonably be expected to achieve this action€™s aim. You can manage the habitat strip in stages to minimise disturbance and create varied habitat. Where existing trees form a continuous line along the bank or bank top causing dark shade to the watercourse, you can: manage woody growth cover to create a more open canopy doing this on around one third of the area will usually allow sufficient light to reach the water leave occasional overhanging tree roots and branches to provide some cover and a future supply of woody material to the watercourse To prevent livestock access to the habitat strip during the grazing season, you can use temporary high tensile wire or electric fencing (without the need for a permit). This type of fencing can help to reduce the risk of debris snagging and the fence being damaged if the watercourse floods. You can maintain existing fishing access to the watercourse (usually 2m x 2m swims on the bank top). Try to avoid creating areas of bare soil on the bank top by maintaining a grass sward. Capital grants to help you do this action You can apply for capital grants to help you do this action, including: Tree surgery (TE16)  to carry out hinging of trees into the watercourse Supply and plant tree (TE4) Fencing (FG1) Sheep netting (FG2) Permanent electric fencing (FG3) Pasture pumps and associated pipework (LV5) Livestock troughs (LV7) Pipework associated with livestock troughs (LV8)</t>
  </si>
  <si>
    <t>BFS6 - Habitat strip next to watercourses</t>
  </si>
  <si>
    <t>CIPM3</t>
  </si>
  <si>
    <t>Companion crop on arable and horticultural land</t>
  </si>
  <si>
    <t>This action€™s aim is that there€™s companion crop growing with a main arable or horticultural crop. The purpose of this is to do one or more of the following: support an integrated pest management ( IPM ) approach by acting as a trap crop for pests or by supressing weeds provide a habitat for birds and invertebrates, including pollinators and natural crop pest predators manage nutrient efficiency protect soil and improve its condition</t>
  </si>
  <si>
    <t>there€™s companion crop growing with a main arable or horticultural crop. T</t>
  </si>
  <si>
    <t>do one or more of the following: support an integrated pest management ( IPM ) approach by acting as a trap crop for pests or by supressing weeds provide a habitat for birds and invertebrates, including pollinators and natural crop pest predators manage nutrient efficiency protect soil and improve its condition</t>
  </si>
  <si>
    <t>You must establish a companion crop on land entered into this action, so it€™s growing with the main arable or horticultural crop. The companion crop does not have to be present for the full growing period of the arable or horticultural crop, as long as it€™s managed in a way that can reasonably be expected to achieve the action€™s aim and its intended purpose. You can establish the companion crop by: trap cropping sowing a trap crop to attract crop pests away from the main arable or horticultural crop inter-cropping sowing the companion crop with the main arable or horticultural crop undersowing sowing a companion crop to form a living mulch beneath the arable or horticultural crop You must avoid growing deep rooted species of companion crop on any area within a land parcel with historic or archaeological features identified in your SFI HEFER . Read section 5.6€¯€˜Land with historic or archaeological features€™ in the SFI scheme information for more details. You can use an existing companion crop to get paid for this action if it meets this action€™s requirements.</t>
  </si>
  <si>
    <t>You must do this action each year of its 3-year duration. If this action€™s start date means it€™s too late for you to do this action, you must start doing it within 12 months of the action€™s start date. For example, if you€™ve already sown the main arable and horticultural crop before this action starts, you can establish the companion crop within 12 months of this action€™s start date.</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</si>
  <si>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OFA1, OFC3, OFC4, OFC5, OFM4, OFM5, OFM6, AGF1, AGF2, PRF1, PRF2, PRF3, PRF4, SOH1, SOH2, SOH3, CAHL2, CIPM1, CIPM4, CNUM1, CSAM1, CSAM2 SFI 2023 actions AHL2, IPM1, IPM4, NUM1, SAM1, SAM2 CS options HS3, HS9, OP1, OR3, OR4, OR5, OT3, OT4, OT5, SW6 ES options No ES revenue options SFI pilot standards SFI pilot arable and horticultural soils standard all levels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</si>
  <si>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what to sow and how to establish a companion crop The species and type of companion crop you choose to sow will be determined by: the main arable or horticultural crop you€™re growing soil conditions the crop pest to be controlled You can establish the companion crop by trap cropping, inter-cropping or undersowing. To help you decide what companion crop to use for this action and how to establish it, you may find it helpful to do CIPM1:Assess integrated pest management and produce a plan . Your seed supplier can help you choose what to sow and advise you on an overall sowing rate. Establishing a trap crop To establish the companion crop as a trap crop, you can sow it: around the field in plots or in between the main arable or horticultural crop before, at the same time or as a separate pass into the main arable or horticultural crop This can help attract pests away from the main crop. Find out more about trap cropping in the Agriculture and Horticulture Development Board ( AHDB ) guidance on using companion cropping to manage cabbage stem flea beetle in oilseed rape . Establishing an intercrop To establish the companion crop as an intercrop, you can sow the companion crop with the main arable or horticultural crop. You can then harvest them together. This can help suppress weeds, reduce disease and crop pests, and provide nutrients. Find out more about intercropping on the Processors and Growers Research Organisation website . Establishing the companion crop by undersowing To establish the companion crop by undersowing, you can sow it either: at the same time as the main arable or horticultural crop as a separate pass into the main arable or horticultural crop You can then leave the companion crop to grow on after you harvest the main crop. This can help to suppress weeds, retain nutrients and protect against soil erosion. Find out more about undersowing in the AHDB guidance on: undersowing crops with clover or grass undersowing maize</t>
  </si>
  <si>
    <t>CIPM3 - Companion crop on arable and horticultural land</t>
  </si>
  <si>
    <t>CAHL3</t>
  </si>
  <si>
    <t>Grassy field corners or blocks</t>
  </si>
  <si>
    <t>This action€™s aim is that there€™s a grassy field corner or block with: an intact grass sward throughout the year, without tracks, compacted areas or poaching tussocky grass allowed to develop The purpose of this is to: provide year-round habitat for a range of wildlife support an integrated pest management approach if located close to cropped areas</t>
  </si>
  <si>
    <t>there€™s a grassy field corner or block with: an intact grass sward throughout the year, without tracks, compacted areas or poaching tussocky grass allowed to develop T</t>
  </si>
  <si>
    <t xml:space="preserve"> provide year-round habitat for a range of wildlife support an integrated pest management approach if located close to cropped areas</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</si>
  <si>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This is a €˜limited area€™ action. The total eligible area you enter into any combination of one of more of the €˜limited area€™ actions must not be more than 25% of the total agricultural area of your farm. Read section 1.3 €˜ SFI actions with a limited area€™ in the SFI scheme information for more details  (including a list of €˜limited area€™ actions). Eligible land Eligible land type Eligible land cover Compatible land use code Arable land used to grow crops Arable land Land use codes for arable crops or leguminous and nitrogen-fixing crops Temporary grassland Arable land TG01 Arable land lying fallow Arable land FA01 Permanent crops horticultural Permanent crops TC01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Part of the available area in a land parcel. Rotational or static action This action is static. This means you must do it at the same location each year of this action€™s duration.</t>
  </si>
  <si>
    <t>You must establish and maintain grassy field corners or blocks on arable and horticultural land entered into this action. To establish the grassy field corners or blocks you must either sow them or allow the areas to naturally regenerate. During the first 12 months after sowing them, or allowing them to naturally regenerate, you can regularly cut or graze them to: control annual weeds encourage new grass shoots to develop The grassy field corners or blocks will usually be established around 12 months after they€™re sown or allowed to regenerate naturally. Once established, you must maintain the grassy field corners or blocks. To do this, you must manage them in a way that can reasonably be expected to achieve this action€™s aim. You must not do the following on the grassy field corners or blocks once they€™re established: graze them with livestock in a way that means this action€™s aim cannot reasonably be achieved cut them, except for localised cutting to control injurious weeds or invasive non-natives, soft and hard rush, or nettles use them for regular vehicular access, turning or storage (for example, storing bales or machinery) carry out activities that may disturb breeding birds or damage nests, as birds, nests and eggs are protected by law apply any fertilisers, manures or lime use pesticides, except for herbicides to weed wipe or spot treat to control injurious weeds , invasive non-native species , or nettles You can maintain existing grassy field corners or blocks to get paid for this action, if they meet this action€™s requirements.</t>
  </si>
  <si>
    <t>You must: establish the grassy field corners or blocks within 12 months of this action€™s start date maintain the same area of grassy field corners or blocks in each subsequent year of this action€™s 3-year duration</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</si>
  <si>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OFC3, OFC4, OFC5, OFM4 OFM5, OFM6, AGF1, AGF2, PRF2, CIPM1, CNUM1, CSAM1 SFI 2023 actions IPM1, NUM1, SAM1 CS options OR3, OR4, OR5, OT3, OT4, OT5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</si>
  <si>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Where to locate the field corners or blocks You can choose to locate the field corners or blocks on areas: which are less productive or difficult to reach with machinery to square up cultivated areas this could help to speed up farm operations close to existing nectar and pollen sources to benefit insects, or existing winter bird food sources to benefit farmland birds close to cropped areas to help with an integrated pest management ( IPM ) approach for example, once tussocky grass develops it can provide habitat for ladybirds which eat aphids close to existing habitat (such as woodland, hedgerows, waterbodies, heathland, fallow land, wildflower-rich grassland) to help farmland wildlife to move across your land To create a network of habitats, you can have a number of smaller areas (for example, between 0.5 hectares (ha) and 1ha) spaced as evenly as possible across your land. For example, you could space 5 blocks of 0.5ha evenly across 100ha to allow pollinators, flying insects and birds to move between the areas. Sowing a seed mix Sowing a seed mix can establish the area more quickly than using natural regeneration. This can reduce the risk of soil erosion. You can choose a seed mix that contains native grass species, such as: timothy cocksfoot crested dog€™s tail red fescue smooth-stalked meadow grass It can help the seeds to germinate if they€™re sown into a seedbed that€™s: firm, consolidated, fine, level and weed free moist, which will usually be the case in the autumn you can sow in the spring, but you may need to increase the sowing rate, depending on weather and soil type You can either: broadcast the seeds onto the surface of the seedbed to help germination shallow-drill the seeds up to a depth of 1 centimetre (cm). Small seeds may struggle to germinate when sown deeper than 1cm If the soil is dry enough, rolling after you have sown the seeds can: improve seed-to-soil contact keep moisture reduce the risk of slug damage Your seed supplier can: help you choose a seed mix that€™s the best match for your land and local conditions advise you on an overall sowing rate for the seed mix you choose Establishing grassy field corners and blocks through natural regeneration Natural regeneration is likely to be most successful on light, free-draining alkaline soils without many weeds. It can take longer (usually around 1 year) to establish the grassy field corners and blocks, but it may cost less. To encourage the seeds that are already in the soil to germinate, you can cultivate the soil between spring and late summer. Maintaining established grassy field corners or blocks Once the grassy field corner or block is established, you can manage it by cutting or grazing it with livestock providing it: meets this action€™s requirements is done in a way that can reasonably be expected to achieve the aim of this action You may need to control weeds when they appear. To control injurious weeds or invasive non-natives, soft and hard rush, or nettles, you can: carry out localised cutting use herbicides to spot-treat or weed wipe You can also control weeds by hand roguing (removing entire plants by hand) before they have finished flowering.</t>
  </si>
  <si>
    <t>CAHL3 - Grassy field corners and blocks</t>
  </si>
  <si>
    <t>CNUM2</t>
  </si>
  <si>
    <t>Legumes on improved grassland</t>
  </si>
  <si>
    <t>This action€™s aim is that there are legumes growing from spring until early autumn. The purpose of this is to: manage nutrient efficiency protect the soil surface provide root growth that maintains soil structure, supports soil biology, and minimise nutrient leaching, soil erosion and runoff support an integrated pest management approach if located close to cropped areas</t>
  </si>
  <si>
    <t>there are legumes growing from spring until early autumn. T</t>
  </si>
  <si>
    <t xml:space="preserve"> manage nutrient efficiency protect the soil surface provide root growth that maintains soil structure, supports soil biology, and minimise nutrient leaching, soil erosion and runoff support an integrated pest management approach if located close to cropped areas</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</si>
  <si>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Temporary grassland Arable land TG01 Improved permanent grassland Permanent grassland PG01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Ineligible you must not enter any area with an historic or archaeological feature into this action. This only affects the area where the feature is located in a land parcel. You can apply for this action on the remaining area in the land parcel if it€™s eligible. Available area you can enter into this action Total or part of the available area in a land parcel. Rotational or static action This action is rotational or static. This means you can either: move its location for the second and third years of this action€™s duration do it at the same location each year of this action€™s duration</t>
  </si>
  <si>
    <t>You must establish and maintain legumes on improved grassland entered into this action. You can use one or more type of legume, such as: red clover white clover alsike clover sainfoin lucerne bird€™s foot trefoil You can establish the legumes by: adding them to an existing grass sward sowing a mix of grass and legumes Once established, you must maintain the legumes. To do this, you must manage them in a way that can reasonably be expected to achieve this action€™s aim. You can maintain existing areas of legumes on improved grassland to get paid this action if they: meet this action€™s requirements are not already being for under another environmental land management scheme option, such as (Countryside Stewardship ( CS ) option GS4 (legume and herb-rich swards)</t>
  </si>
  <si>
    <t>If you€™re doing this action on the same area of land for this action€™s 3-year duration, you must: establish the legumes within 12 months of this action€™s start date maintain the area of legumes in each subsequent year of this action€™s duration If you€™re rotating this action around your farm, each year of your SFI agreement you must do it for a period of time that could reasonably be expected to achieve this action€™s aim.</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</si>
  <si>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OFC1, OFC3, OFM1, OFM4, AGF1, AGF2, PRF1, PRF2, CIPM1, CNUM1, CSAM1 SFI 2023 actions IPM1, NUM1, SAM1 CS options OR1, OR3, OT1, OT3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</si>
  <si>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a seed mix Sainfoin, lucerne and alsike clover are more suited to grassland that you cut. Your seed supplier can help you choose a seed mix that€™s the best match for your land and local conditions. Where to sow the seed mix It can help to sow the seed mix where you want to reduce fertiliser use. To help you plan where and how to do this action, you may find it helpful to do CNUM1 (assess nutrient management and produce a review report). Nitrogen fixation from the legumes will reduce if the soil phosphate and pH are not at optimal levels. Spreading the legume areas across the farm can help to provide a network of habitats for farmland wildlife. How and when to sow the seed mix Your seed supplier can advise you on an overall sowing rate for the seed mix you choose. You can sow the seed mix shallowly into a firm seedbed or overseed into an established grass sward. Sowing the seed mix in March or April can help germination. Alternatively, you can sow after a silage cut, as the grassland is likely to be more open. You may get better results after the second silage cut (or late hay cut), as the regrowth is less vigorous. Legumes sowed after August may not establish before the winter. During establishment of the legumes It€™s advisable to keep livestock off the areas of legumes while the seedlings establish. This will prevent new grasses or legumes being grazed out. Maintaining established legumes Once the legumes are established, you can cut them or graze them with livestock providing you do it in a way that could reasonably be expected to achieve this action€™s aim. This will help to reduce competition from existing plants. You may find it helpful to read Farm Wildlife€™s advice on rotational legume and herb-rich swards for livestock farming . This includes guidance on how you could manage the legume areas under €˜ongoing management€™.</t>
  </si>
  <si>
    <t>CNUM2 - Legumes on improved grassland</t>
  </si>
  <si>
    <t>HEF1</t>
  </si>
  <si>
    <t>Maintain weatherproof traditional farm or forestry buildings</t>
  </si>
  <si>
    <t xml:space="preserve">per square metre </t>
  </si>
  <si>
    <t>€“ you must only include the area of the building€™s ground floor</t>
  </si>
  <si>
    <t xml:space="preserve"> not any area from other floors or areas outside the building. You€™ll enter the hectarage equivalent of the building€™s ground floor m 2 in your SFI application. Divide the m 2 area by 10</t>
  </si>
  <si>
    <t>000 to convert it into hectares.</t>
  </si>
  <si>
    <t>To maintain the traditional farm or forestry building in good condition, you must: complete a visual building maintenance assessment to check the building€™s condition and identify any areas that need routine maintenance work or minor repairs to keep it weatherproof carry out any necessary routine maintenance work and minor repairs on a €˜like for like€™ basis using traditional materials and methods (unless non-traditional material has previously been used) maintain any existing areas where a non-traditional material has previously been used to repair or re-clad the building, such as corrugated iron sheeting to cover roofs This includes fixtures, fittings and features such as mounting blocks and stack or stook bases. To make sure there are preserved and accessible features for bats, owls and kestrels, you must: complete a visual building wildlife assessment to identify any existing use of the building by these species retain any existing features used by these species that you€™ve identified in the building wildlife assessment install an owl, bat or kestrel box if you€™ve identified they€™re required in the building wildlife assessment you can apply for funding for wildlife boxes in Capital Grants If you identify bat activity, you must: get advice from a licensed ecological consultant before you carry out routine maintenance work or minor repairs on the building follow any advice from the ecological consultant about when work can be undertaken on the building€™s fabric comply with the relevant legal requirements for advice and licences read section 10 €˜Get all necessary regulatory consents, permissions and licences in place€™ in the SFI scheme information for more information You must produce: a photographic record of the condition of the building as at this action€™s start date a written or photographic record of each visual building maintenance assessment you complete, including details of any areas of the building that need routine maintenance work or minor repairs to keep it weatherproof and the date you identify this need a written or photographic record of the routine maintenance work or minor repairs completed, including when the work was done a written record of the building wildlife assessment You must not sell the building, or convert it to non-agricultural or forestry use during this action€™s 3-year duration.</t>
  </si>
  <si>
    <t>You must: complete the visual building maintenance assessment and building wildlife assessment at least once each year of this action€™s 3-year duration carry out any necessary routine maintenance work or minor repairs within 12 months of identification, or by this action€™s end date if the need for maintenance work or minor repairs is identified during the final year of this action€™s duration unless bat activity has been identified and the ecologist€™s advice is to carry out works later install owl, bat or kestrel boxes, as relevant, within 12 months of this action€™s start date, if you€™ve identified they€™re required in the building wildlife assessment</t>
  </si>
  <si>
    <t>You must keep: the required records identified in €˜what to do€™ any receipted invoices (or bank statements where a receipted invoice is unavailable), consents or permissions connected with the work on the traditional farm or forestry building a record of advice you€™ve received from a licensed ecological consultant and any required wildlife licence, if you€™ve identified bat activity in the building wildlife assessment You must supply this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</si>
  <si>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No SFI revenue actions SFI 2023 actions No SFI revenue actions CS options No CS revenue options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t>
  </si>
  <si>
    <t xml:space="preserve"> Completing a visual building maintenance assessment Completing this action€™s visual building maintenance assessment  as often as possible each year will help you to keep the building weatherproof. Areas that may need routine maintenance work or minor repairs may include, for example: blocked downpipes and gutters broken or slipped slates, tiles or glass pointing on walls the condition of paintwork barriers to wildlife access vegetation that needs clearing You can use the Countryside Stewardship: building maintenance plan and log form to help you complete the assessment, but it€™s not part of this SFI action€™s requirements. Carrying out routine maintenance work and minor repairs Routine maintenance work and minor repairs may include activities such as: clearing gutters from debris and leaves fixing slipped slate or broken roofing slates and tiles to prevent rainwater penetration renewing cast iron gutters and drainpipes replacing broken glass repainting woodwork and metalwork repointing walls clearing vegetation You may find it helpful to read Historic England€™s €˜The Maintenance and Repair of Traditional Farm Buildings a guide to Good Practice€™ . Completing a visual building wildlife assessment You can use the Countryside Stewardship: building wildlife assessment form to help you complete the visual building wildlife assessment, but it€™s not part of this SFI action€™s requirements.</t>
  </si>
  <si>
    <t>HEF1 - Maintain weatherproof traditional farm or forestry buildings</t>
  </si>
  <si>
    <t>AGF1</t>
  </si>
  <si>
    <t>Maintain very low density in-field agroforestry on less sensitive land</t>
  </si>
  <si>
    <t>the hectarage can include: the area used to grow agroforestry trees the areas between the trees, used for arable or horticultural crops, grassland or other eligible environmental land management scheme actions or options</t>
  </si>
  <si>
    <t>This action€™s aim is that there€™s an established very low density in-field agroforestry system that€™s maintained, so there€™s a combination of both: trees (including shrubs) arable or horticultural crops, grassland for forage or areas used for other eligible environmental land management scheme actions or options The purpose of this is to: reduce soil erosion and flooding improve water and air quality provide shelter for crops and livestock contribute to carbon capture and storage</t>
  </si>
  <si>
    <t>there€™s an established very low density in-field agroforestry system that€™s maintained, so there€™s a combination of both: trees (including shrubs) arable or horticultural crops, grassland for forage or areas used for other eligible environmental land management scheme actions or options T</t>
  </si>
  <si>
    <t xml:space="preserve"> reduce soil erosion and flooding improve water and air quality provide shelter for crops and livestock contribute to carbon capture and storage</t>
  </si>
  <si>
    <t>You can do this action on an eligible in-field agroforestry system on less €˜sensitive€™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You can use the Forestry Commission€™s SFI Agroforestry map to identify €˜less sensitive land€™ (shown as €˜sensitivity: low€™). Less sensitive land does not include: sites of special scientific interest ( SSSIs ) or other sensitive areas which are listed in the guidance on forestry environmental impact assessments (forestry EIA ) priority habitats such as species-rich grassland - you can find a list of priority habitats on GOV.UK To be eligible for this action, the in-field agroforestry system must: contain established trees these can be at any stage of maturity, including newly planted saplings if they€™ll be left to become mature trees be grown on semi-vigorous or vigorous rootstocks if they are fruit trees these will usually produce trees at least 4 metres (m) tall be very low density For the purposes of this action, €˜very low density€™ means that across the area you enter into this action in each land parcel: there€™s an average of 30 to 50 trees per hectare, usually planted in rows or a grid the trees are spaced in a way that means you do not need to apply for a forestry EIA read the €˜advice to help you do this action€™ for further information Eligible land Eligible land type Eligible land cover Compatible land use code Arable land used to grow crops Arable land Land use codes for arable crops or leguminous and nitrogen-fixing crops Temporary grassland Arable land TG01 Arable land lying fallow Arable land FA01 Improved permanent grassland Permanent grassland PG01 Horticultural permanent crops Permanent crops TC01 Eligibility of protected land Protected land Eligibility Sites of special scientific interest ( SSSIs ) Ineligible you must not enter any area that€™s designated as an SSSI into this action Historic and archaeological features Ineligible you must not enter any area with an historic or archaeological feature into this action. This only affects the area where the feature is located in a land parcel. You can apply for this action on the remaining area in the land parcel if it€™s eligible. Available area you can enter into this action Total or part of the available area in a land parcel. Rotational or static action This action is static. This means you must do it at the same location each year of this action€™s duration.</t>
  </si>
  <si>
    <t>You must maintain the very low density in-field agroforestry system in a way that can reasonably be expected to achieve this action€™s aim. This includes: replacing dead trees, where necessary to make sure the density continues to be an average of at least 30 trees per hectare across the area you enter into this action in each land parcel protecting the trees from grazing livestock and pests, such as deer and rabbits, to prevent serious damage - you can apply for Capital Grants to help you do this managing weeds around the base of establishing trees pruning and shaping the trees once they are established</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</si>
  <si>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AHW1, AHW3, AHW6, AHW7, AHW8, AHW9, AHW10, AHW11, AHW12, BFS1, BFS2, BFS3, OFA1, OFA6, OFC1, OFC3, OFC4, OFM1, OFM4, OFM5, SOH4, WBD3, WBD4, WBD5, WBD6, WBD7, WBD8, PRF1, PRF2, PRF3, PRF4, SOH1, SOH2, SOH3, CAHL1, CAHL2, CAHL3, CAHL4, CIGL1, CIGL2, CIGL3, CIPM1, CIPM2, CIPM3, CIPM4, CLIG3, CNUM1, CNUM2, CNUM3, CSAM1, CSAM2, CSAM3, HEF8 SFI 2023 actions AHL1, AHL2, AHL3, AHL4, IGL1, IGL2, IGL3, IPM1, IPM2, IPM3, IPM4, LIG1, LIG2, NUM1, NUM2, NUM3, SAM1, SAM2, SAM3 CS options AB1, AB2, AB3, AB6, AB7, AB8, AB9, AB10, AB11, AB13, AB14, AB15, AB16, GS2, GS3, GS4, GS5, HS6, SW1, SW2, SW3, SW4, SW5, SW6, SW7, SW8, SW9, SW10, SW13, SW15, SW16, WD3, WT1, WT2, OP1, OP2, OP4, OP5, OR1, OR3, OR4, OT1, OT3, OT4 ES options No ES revenue options SFI pilot standards No area-based SFI pilot standards If an action or option cannot be located on the same area, you may be able to do it on a different area in the same land parcel - Read section 6. €˜Eligible land in other funding schemes€™ for more information.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</si>
  <si>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Planning your agroforestry system If you have not already planted your agroforestry system, before you establish your trees and apply for this action you can plan: which planting pattern best suits the purpose of your trees and your agricultural system for example, designing a silvoarable system to allow space for arable operations how you€™ll manage the land underneath the trees, particularly if you€™re doing other SFI actions on that land which tree species are best to use with your crops and livestock for example, if there will be competition for light and nutrients potential benefits of your agroforestry system, such as shade, shelter and forage potential issues, such as toxic berries or seeds the water requirements of your trees and any effects your trees may have on local hydrology In future, you€™ll be able to apply for a capital item to help you plan your agroforestry system. More details on this will be published later in 2024. Tree spacing: forestry EIAs This action requires that the trees in your existing agroforestry system are spaced in a way that means you do not need to apply for a forestry EIA (under €˜Where you can do this action€™). A forestry EIA is required if you plant trees on 0.5ha or more agricultural land in a way which could create €˜woodland€™. The UK Forestry Standard defines woodland as €˜land that is predominantly covered in trees, with a canopy cover of at least 20%€™. You do not need to apply for a forestry EIA if you€™ve planted the trees in your agroforestry system far enough apart, so the canopy cover is less than 20%. This will usually be the case if you€™ve planted them in either: a grid pattern, with the trees at least 15m apart rows (including alleys) that are between 24m and 45m apart, with the trees 3m apart in each row Read the guidance on forestry EIAs for more information. Managing your agroforestry system: agriculture EIAs Check if you need an agriculture EIA €˜screening decision€™ from Natural England if how you€™ll manage your agroforestry system will: increase the productivity of uncultivated land or semi-natural areas add, remove, move or change the nature of a field boundary add, remove of distribute earth or other material Read section 10.7 €˜Permission to change uncultivated, semi-natural or rural land€™ in the SFI scheme information. Maintaining your agroforestry system The trees in your agroforestry system may be damaged by how you manage the land around the tree. This is because the root system of your trees will usually: be quite shallow, with the majority of roots in the top 60 centimetres (cm) of the soil spread beyond the tree€™s crown To help protect the root system, you can avoid disturbing the soil within a suitable radius from the trees (a €˜root protection area€™). For example, this would be a 1.5m radius from the tree for 3m wide strips of planting. Read the Woodland Trust€™s guidance on root protection areas for more information. Activities which could disturb the soil around the trees include: ploughing harrowing poaching by grazing livestock When you prune and shape the trees once they are established, you may want to consider doing this in a way that means: competition for light is managed you can access between the trees with machinery the trees€™ yield of fruit, nuts and forage, as relevant, is optimised there€™s a balanced tree shape and strong branches to support the fruit or nut crop You can manage your agroforestry system for timber by early pruning and then high pruning later on. This will help you achieve a branch free clear stem of 3m to 5m from the base of the tree, which can improve the quality of timber. For detailed guidance on maintaining your agroforestry system, read the Soil Association€™s Agroforestry Handbook . How to increase biodiversity in your agroforestry system Agroforestry can benefit integrated pest management by providing habitat for natural predators. To increase biodiversity in your agroforestry system, you can consider planting: wildflower strips on the areas between the trees flower rich mixes in the understorey which are left uncut cover crops or herbal leys within the cropping alley, between the tree rows There are several SFI actions that you can do between the trees to increase biodiversity. You can find these SFI actions under €˜Other actions or options you can do on the same area as this action€™. For example: CIPM2: Flower-rich grass margins, blocks or in-field strips CAHL1: Pollen and nectar flower mix CSAM3: Herbal leys</t>
  </si>
  <si>
    <t>AGF1 - Maintain very low density in-field agroforestry on less sensitive land</t>
  </si>
  <si>
    <t>CIPM2</t>
  </si>
  <si>
    <t>Flower-rich grass margins, blocks or in-field strips</t>
  </si>
  <si>
    <t>This action€™s aim is that there€™s an established multi-annual flower-rich grass mix which: is growing in margins, blocks or in-field strips produces flowering plants during the spring and summer months, into early autumn The purpose of this is to: encourage natural crop pest predators as part of an integrated pest management approach if located close to cropped areas provide habitat and foraging sites for invertebrates, including natural crop pest predators, wild pollinators such as bumblebees, solitary bees, butterflies and hoverflies, and farmland birds</t>
  </si>
  <si>
    <t>there€™s an established multi-annual flower-rich grass mix which: is growing in margins, blocks or in-field strips produces flowering plants during the spring and summer months, into early autumn T</t>
  </si>
  <si>
    <t xml:space="preserve"> encourage natural crop pest predators as part of an integrated pest management approach if located close to cropped areas provide habitat and foraging sites for invertebrates, including natural crop pest predators, wild pollinators such as bumblebees, solitary bees, butterflies and hoverflies, and farmland birds</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</si>
  <si>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This is a €˜limited area€™ action. The total eligible area you enter into any combination of one of more of the €˜limited area€™ actions must not be more than 25% of the total agricultural area of your farm. Read section 1.3 €˜ SFI actions with a limited area€™ in the SFI scheme information for more details (including a list of the €˜limited area€™ actions). Eligible land Eligible land type Eligible land cover Compatible land use code Arable land used to grow crops Arable land Land use codes for arable crops or leguminous and nitrogen-fixing crops Temporary grassland Arable land TG01 Arable land lying fallow Arable land FA01 Permanent crops horticultural and non-horticultural Permanent crops Land use codes for permanent crops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Part of the available area in a land parcel. Rotational or static action This action is rotational or static. This means you can either: move its location for the second and third years of this action€™s duration do it at the same location each year of this action€™s duration</t>
  </si>
  <si>
    <t>You must establish a flower-rich grass mix as a margin, block or in-field strip on land entered into this action. You must use a seed mix which includes at least both: 4 grass species (not ryegrass) these should make up no more than 90% of the total mix by weight 10 wildflower species with no individual flower species being more than 25% of the total wildflower species element by weight Once the flower-rich grass margin, block or in-field strip is established (usually from the second spring after sowing), you must maintain it. To do this you must manage it in a way that can reasonably be expected to achieve this action€™s aim. You must not do the following on the established flower-rich grass margin, block or in-field strip: cut or graze it with livestock in a way that means this action€™s aim cannot reasonably be expected to be achieved use them for regular vehicular access, turning or storage (for example, storing bales or machinery) mechanically apply any fertilisers and manures apply pesticides, except for herbicides to weed wipe or spot treat to control injurious weeds , invasive non-native species , or nettles You can maintain an existing flower-rich grass margin, block or in-field strip to get paid for this action, if it: meets this action€™s requirements is not already being paid for under another environmental land management scheme option, such as Countryside Stewardship ( CS ) option AB8 (flower rich margins and plots)</t>
  </si>
  <si>
    <t>If you€™re establishing a new flower-rich grass margin, block or in-field strip to meet this action, you must: sow the mix by early autumn, within 12 months of this action€™s start date maintain the mix at the same location until this action€™s end date If you€™re maintaining an existing flower-rich grass margin, block or in-field strip to meet this action, you must do this until this action€™s end date. You may need to oversow it within 12 months of this action€™s start date, so it can reasonably be expected to achieve this action€™s aim.</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</si>
  <si>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OFC3, OFC4, OFC5, OFM4, OFM5, OFM6, AGF1, AGF2, PRF2, CSAM1, CIPM1, CNUM1 SFI 2023 actions SAM1, IPM1, NUM1 CS options OR3, OR4, OR5, OT3, OT4, OT5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</si>
  <si>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Doing this action as part of an IPM approach To help you decide how to do this action, you may find it helpful to do CIPM1: Assess integrated pest management and produce a planIPM1 (assess integrated pest management and produce a plan). Choosing a seed mix This action explains the minimum requirement for grass species and wildflower species in the seed mix (under €˜What to do€™). Grass species you could choose include: common bent creeping bent crested dog€™s tail rough stalked meadow grass sheep€™s fescue slender red fescue smaller cat€™s-tail smooth stalked meadow grass sweet vernal grass Flower species you could choose include: agrimony bird€™s-foot trefoil black knapweed field scabious greater knapweed lady€™s bedstraw meadow buttercup ox-eye daisy red campion red clover ribwort plantain sainfoin salad burnet self-heal sorrel white campion wild carrot yarrow yellow rattle You can choose to sow a seed mix containing more wildflower species than this action requires. Using an enhanced mix can be beneficial as it retains more flower species for longer and is likely to mean less frequent re-sowing. It can also help to provide a more varied mix of flowers for beneficial insects. Your seed supplier can help you choose a seed mix that€™s the best match for your land and local conditions. Where to sow the seed mix It will usually help to sow the seed mix on sites that: receive plenty of sunlight, to help plants establish are low in soil fertility, as grasses and weeds can dominate fertile areas and will compete with the flowers You can choose to sow the seed mix: in wide margins or in-field strips, or large blocks (for example, around at least 0.5ha) to help provide a buffer for beneficial insects when you€™re spraying fields close to cropped areas, to provide habitat for natural crop pest predators as part of an IPM approach to square off cultivated areas, which may help to speed up farm operations Sowing a number of margins, in-field strips or blocks, spaced as evenly as possible across your farm, will create a network of habitats for beneficial insects. For example, you could space 5 blocks of 0.5ha evenly across 100ha to allow beneficial insects to move across that area. How to sow the seed mix Your seed supplier can advise you on an overall sowing rate for the seed mix you choose. The recommended minimum seed rate for flowers in the mix is 2 kilograms (kg) per hectare. It€™ll help the seeds to germinate if they€™re sown into a seedbed that€™s: firm, consolidated, fine, level and weed free warm and moist, which will usually be between March and mid-September (as wildflowers can grow slowly, try to sow by the end of August to avoid frost damage) You can either: broadcast the seeds onto the surface of the seedbed to help germination shallow-drill the seeds up to a depth of 1 centimetre (cm), as small seeds usually struggle to germinate when sown deeper than 1cm. If the soil is dry enough, rolling after you have sown the seeds can improve seed-to-soil contact, retain moisture and reduce the risk of slug damage. Establishing the flower-rich grass margins, blocks or in-field strips During the first spring and summer after sowing, it€™s advisable to check the margin, block or in-field strip regularly to monitor germination. If establishment is poor, you may need to re-sow part or all of it. Your seed supplier can help you if you€™re unsure what to do. Cutting the margin, block or in-field strip regularly during the first 12 months after sowing will help to control weeds, so the sown plants can establish. You can do this whenever the weeds are just above the sown flowers, so they€™re starting to shade them out. Read €˜cutting the margin, block or in-field strip€™ for more information. Maintaining the established margins, blocks or in-field strips Once the margin, block or in-field strip is established, you can cut or graze it with livestock providing it€™s done in a way that could reasonably be expected to achieve this action€™s aim. To help you achieve this action€™s aim, you could do some or all of the following: cut in the spring (usually before the start of April), so vegetation is short enough to allow flower species to grow without competition from dominant grasses cut or graze the summer growth between mid-August and the end of October this will help reduce soil fertility and boost flower numbers in subsequent years stagger the cutting or grazing, so all the margins, blocks or in-field strips are not grazed or cut at the same time this will help to provide a constant supply of flowers for invertebrates leave an area within each margin, block or in-field strip (for example, 10%) uncut or ungrazed each year this will help to provide a refuge for insects and other wildlife over winter Cutting the margin, block or strip If you€™re cutting the margin, block or strip: check it for signs of nesting birds before you cut it birds, nests and eggs are protected by law , so if you see signs of nesting birds, delay cutting until the birds fledge remove the cut vegetation, where possible, to help reduce the risk of it smothering the flower species and limit weeds if it€™s impractical to do this, you can finely chop them to spread them as thinly as possible</t>
  </si>
  <si>
    <t>CIPM2 - Flower-rich grass margins, blocks or in-field strips</t>
  </si>
  <si>
    <t>GRH8</t>
  </si>
  <si>
    <t>Haymaking supplement (late cut)</t>
  </si>
  <si>
    <t>This supplemental action€™s aim is that a crop of herb-rich hay is made, with wildflowers and grasses allowed to flower and set seed. The purpose of this is to: support later flowering plant species allow wading birds, such as curlew, to nest successfully help to conserve plants seen in traditionally managed hay meadows provide pollen and nectar for bees and other insects improve water quality maintain traditional landscape character</t>
  </si>
  <si>
    <t>a crop of herb-rich hay is made, with wildflowers and grasses allowed to flower and set seed. T</t>
  </si>
  <si>
    <t xml:space="preserve"> support later flowering plant species allow wading birds, such as curlew, to nest successfully help to conserve plants seen in traditionally managed hay meadows provide pollen and nectar for bees and other insects improve water quality maintain traditional landscape character</t>
  </si>
  <si>
    <t>You can only do this supplemental action on eligible land that€™s entered into the following base action: CLIG3: Manage grassland with very low nutrient inputs (or LIG1 and LIG2 in the SFI 2023 offer) GRH6: Manage priority habitat species-rich grassland You cannot do this action on land that€™s already entered into the following equivalent base actions in a Countryside Stewardship agreement: GS2 (permanent grassland with very low inputs outside SDAs ) GS5 (permanent grassland with very low inputs SDAs ) in a Countryside Stewardship ( CS ) agreement Eligibility of protected land Protected land Eligibility Sites of special scientific interest ( SSSIs ) Same as your selected base action Historic and archaeological features Same as your selected base action Available area you can enter into this action Same or less than your selected base action. Rotational or static action This action is rotational or static. This means that after the first year of this action€™s duration you can either: move its location around the land entered into the relevant base action for subsequent years of this action€™s duration do it at the same location each year</t>
  </si>
  <si>
    <t>You must not graze or cut the sward for at least 9 weeks during the spring and summer months before you harvest the hay crop. This is to allow the sward to develop flowering grasses and wildflowers. For land entered into this supplemental action, the minimum 9-week period replaces the: minimum 7-week period required by base action CLIG3 minimum 8-week period required by base action GRH6 You must allow the flowers and grasses to set seed. This will usually mean harvesting the hay crop no earlier than mid-July. You must: in each land parcel, leave an uncut margin around at least half of the edge of the area entered into this action when you harvest the crop to provide shelter for invertebrates and small mammals leave the cut hay crop to field dry, turning it at least once remove the hay crop once it is field dry it can be unwrapped or wrapped After you€™ve removed the hay crop, you must manage the sward in a way that can reasonably be expected to achieve the relevant base action€™s aim. This will usually be by aftermath grazing or taking a second cut.</t>
  </si>
  <si>
    <t>GRH8 - Supplement: Haymaking (late cut)</t>
  </si>
  <si>
    <t>AGF2</t>
  </si>
  <si>
    <t>Maintain low density in-field agroforestry on less sensitive land</t>
  </si>
  <si>
    <t xml:space="preserve"> the hectarage can include: the area used to grow agroforestry trees the areas between the trees</t>
  </si>
  <si>
    <t xml:space="preserve"> used for arable or horticultural crops</t>
  </si>
  <si>
    <t xml:space="preserve"> grassland or other eligible environmental land management scheme actions or options</t>
  </si>
  <si>
    <t>You must maintain the low density in-field agroforestry system in a way that can reasonably be expected to achieve this action€™s aim. This includes: replacing dead trees, where necessary to make sure the density continues to be an average of at least 51 trees per hectare across the area you enter into this action in each land parcel protecting the trees from grazing livestock and pests, such as deer and rabbits, to prevent serious damage - you can apply for Capital Grants to help you do this managing weeds around the base of establishing trees pruning and shaping the trees once they are established</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</si>
  <si>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AHW1, AHW3, AHW6, AHW7, AHW8, AHW9, AHW10, AHW11, AHW12, BFS1, BFS2, BFS3, OFA1, OFA6, OFC1, OFC3, OFC4, OFM1, OFM4, OFM5, SOH4, WBD3, WBD4, WBD5, WBD6, WBD7, WBD8, PRF1, PRF2, PRF3, PRF4, SOH1, SOH2, SOH3, CAHL1, CAHL2, CAHL3, CAHL4, CIGL1, CIGL2, CIGL3, CIPM1, CIPM2, CIPM3, CIPM4, CLIG3, CNUM1, CNUM2, CNUM3, CSAM1, CSAM2, CSAM3, HEF8 SFI 2023 actions AHL1, AHL2, AHL3, AHL4, IGL1, IGL2, IGL3, IPM1, IPM2, IPM3, IPM4, LIG1, LIG2, NUM1, NUM2, NUM3, SAM1, SAM2, SAM3 CS options AB1, AB2, AB3, AB6, AB7, AB8, AB9, AB10, AB11, AB13, AB14, AB15, AB16, GS2, GS3, GS4, GS5, HS6, SW1, SW2, SW3, SW4, SW5, SW6, SW7, SW8, SW9, SW10, SW13, WD3, WT1, WT2, OP1, OP2, OP4, OP5, OR1, OR3, OR4, OT1, OT3, OT4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</si>
  <si>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Planning your agroforestry system If you have not already planted your agroforestry system, before you establish your trees and apply for this action you can plan: which planting pattern best suits the purpose of your trees and your agricultural system for example, designing a silvoarable system to allow space for arable operations how you€™ll manage the land underneath the trees, particularly if you€™re doing other SFI actions on that land which tree species are best to use with your crops and livestock for example, if there will be competition for light and nutrients potential benefits of your agroforestry system, such as shade, shelter and forage potential issues, such as toxic berries or seeds the water requirements of your trees and any effects your trees may have on local hydrology In future, you€™ll be able to apply for a capital item to help you plan your agroforestry system. More details on this will be published later in 2024. Tree spacing: forestry EIAs This action requires that the trees in your existing agroforestry system are spaced in a way that means you do not need to apply for a forestry EIA (under €˜Where you can do this action€™). A forestry EIA is required if you plant trees on 0.5ha or more agricultural land in a way which could create €˜woodland€™. The UK Forestry Standard defines woodland as €˜land that is predominantly covered in trees, with a canopy cover of at least 20%€™. You do not need to apply for a forestry EIA if you€™ve planted the trees in your agroforestry system far enough apart, so the canopy cover is less than 20%. This will usually be the case if you€™ve planted them in either: a grid pattern, with the trees at least 15m apart rows (including alleys) that are between 24m and 45m apart, with the trees 3m apart in each row Read the guidance on forestry EIAs for more information. Managing your agroforestry system: agriculture EIAs Check if you need an agriculture EIA €˜screening decision€™ from Natural England if how you€™ll manage your agroforestry system will: increase the productivity of uncultivated land or semi-natural areas add, remove, move or change the nature of a field boundary add, remove of distribute earth or other material Read section 10.7 €˜Permission to change uncultivated, semi-natural or rural land€™ in the SFI scheme information. Maintaining your agroforestry system The trees in your agroforestry system may be damaged by how you manage the land around the tree. This is because the root system of your trees will usually: be quite shallow, with the majority of roots in the top 60 centimetres (cm) of the soil spread beyond the tree€™s crown To help protect the root system, you can avoid disturbing the soil within a suitable radius from the trees (a €˜root protection area€™). For example, this would be a 1.5m radius from the tree for 3m wide strips of planting. Read the Woodland Trust€™s guidance on root protection areas for more information. Activities which could disturb the soil around the trees include: ploughing harrowing poaching by grazing livestock When you prune and shape the trees once they are established, you may want to consider doing this in a way that means: competition for light is managed you can access between the trees with machinery the trees€™ yield of fruit, nuts and forage, as relevant, is optimised there€™s a balanced tree shape and strong branches to support the fruit or nut crop You can manage your agroforestry system for timber by early pruning and then high pruning later on. This will help you achieve a branch free clear stem of 3m to 5m from the base of the tree, which can improve the high quality of timber. For detailed guidance on maintaining your agroforestry system, read the Soil Association€™s Agroforestry Handbook. How to increase biodiversity in your agroforestry system Agroforestry can benefit integrated pest management by providing habitat for natural predators. To increase biodiversity in your agroforestry system, you can consider planting: wildflower strips on the areas between the trees flower rich mixes in the understorey which are left uncut cover crops or herbal leys within the cropping alley, between the tree rows There are several SFI actions that you can do between the trees to increase biodiversity. You can find these SFI actions under €˜Other actions or options you can do on the same area as this action€™. For example: CIPM2: Flower-rich grass margins, blocks or in-field strips CAHL1: Pollen and nectar flower mix CSAM3: Herbal leys</t>
  </si>
  <si>
    <t>AGF2 - Maintain low density in-field agroforestry on less sensitive land</t>
  </si>
  <si>
    <t>CNUM1</t>
  </si>
  <si>
    <t>Assess nutrient management and produce a review report</t>
  </si>
  <si>
    <t>assessment and review report per year</t>
  </si>
  <si>
    <t>This action€™s aim is that you assess your current approach to nutrient usage and effectively plan how to: manage your nutrient usage more efficiently and effectively optimise your use of organic sources of crop nutrition</t>
  </si>
  <si>
    <t>you assess your current approach to nutrient usage and effectively plan how to: manage your nutrient usage more efficiently and effectively optimise your use of organic sources of crop nutrition</t>
  </si>
  <si>
    <t>You can do this action on all agricultural land located below the moorland line. The nutrient management ( NM ) assessment and review report should cover all of the relevant areas of your farm. This is an €˜agreement level€™ SFI action. This means you apply to include it in your agreement instead of entering specific areas of land. You can only apply for this action: if at least one land parcel is linked to your Single Business Identifier ( SBI ), so it€™s shown on your digital maps in one SFI agreement once you€™ve included it in an agreement, you cannot apply for this action again until after its 3-year duration in that agreement ends Eligibility of protected land Protected land Eligibility Sites of special scientific interest ( SSSIs ) Eligible you do not need to get SSSI consent for this action as it€™s an assessment and review report Historic and archaeological features Eligible you do not need to get a SFI HEFER for this action as it€™s an assessment and review report Available area you can enter into this action Not applicable as this is an agreement level SFI action. Rotational or static action Not applicable as this is an agreement level SFI action.</t>
  </si>
  <si>
    <t>You must arrange for a member of the BASIS Professional Register who€™s qualified under the Fertiliser Advisers Certification and Training Scheme (a €˜FACTS qualified adviser€™) to visit your farm to: assess your current nutrient use and needs for your farm identify and discuss opportunities to increase efficiency of your nutrient usage, and maximise the use of natural sources of crop nutrients on that land help you produce a written NM review report You must make sure that the FACTS qualified adviser does what€™s required above. If you€™re a FACTS qualified adviser, as defined above, you can complete this action yourself. You can use an existing written NM review report, informed by an NM assessment, to get paid for this action if it was: carried out by a FACTS qualified adviser written within the last 12 months If you need to take soil samples on areas within a land parcel containing historic or archaeological features, including scheduled monuments, you must follow the requirements explained in section 5.6 €˜Land with historic or archaeological features€™ in the SFI scheme information.</t>
  </si>
  <si>
    <t>You must make sure that a FACTS qualified adviser visits your farm to: complete the NM assessment and help you produce a written NM review report within 12 months of this action€™s start date reassess your nutrient use and needs for your land and review your NM review report in each subsequent year of this action€™s duration</t>
  </si>
  <si>
    <t>You must keep: a written record of your NM review report, including the NM assessment evidence that the adviser is a FACTS qualified adviser, such as their name and BASIS or FACTS registration number You must supply this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</si>
  <si>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actions All SFI actions, except CMOR1, MOR1 or NUM1 CS options All CS management options ES options All ES revenue options SFI pilot standards All SFI pilot standards</t>
  </si>
  <si>
    <t xml:space="preserve"> Finding a FACTS qualified adviser You can use the BASIS €˜Find an Adviser€™ tool to help you find a FACTS qualified advisor. Completing an NM assessment You can choose how the FACTS qualified adviser completes the NM assessment. There€™s no standard format. To help you achieve this action€™s aim, you can do the following to plan the right amount of nutrients for your soil: calculate the nutrient and pH requirements of the crop sample and test the soil in each field for pH, phosphorus, potassium and magnesium it€™s usually best to do this at least every 3 to 5 years calculate the nutrient levels that will be supplied from organic sources, such as legumes, manure, slurry or digestate, or nutrients recycled from the return of crop residues (for example, straw) calculate the amount of artificial fertiliser you€™ll need to apply so it does not exceed what the crop needs increasing nutrient supply from the soil and organic sources will reduce the need for artificial fertiliser It€™s best to take soil samples when nutrient levels are likely to be lowest. This is usually between September and March after you have harvested the previous crop. This will help to identify the nutrients left in the soil that the next crop will use. If you need to take soil samples on land with historic or archaeological features, read section 5.6 €˜Land with historic or archaeological features€™ in the SFI scheme information. Read more about NM in the Agriculture and Horticulture Development Board€™s ( AHDB ) Nutrient Management Guide (RB209) . Writing an NM review report You can choose how to produce the written NM review report. There€™s no standard format. You can read the Tried and Tested Nutrient Management Plan for help creating farm nutrient plans. It also includes a template.</t>
  </si>
  <si>
    <t>CNUM1 - Assess nutrient management and produce a review report</t>
  </si>
  <si>
    <t>Units</t>
  </si>
  <si>
    <t>CIPM1</t>
  </si>
  <si>
    <t>Assess integrated pest management and produce a plan</t>
  </si>
  <si>
    <t>assessment and plan per year</t>
  </si>
  <si>
    <t>This action€™s aim is that you: understand the benefits, costs, impacts and risks of your current approach to crop pest, weed and disease management for your land effectively plan how to adopt a range of integrated pest management ( IPM ) methods appropriate to your farm</t>
  </si>
  <si>
    <t>you: understand the benefits, costs, impacts and risks of your current approach to crop pest, weed and disease management for your land effectively plan how to adopt a range of integrated pest management ( IPM ) methods appropriate to your farm</t>
  </si>
  <si>
    <t>You can do this action on all agricultural land located below the moorland line. The IPM assessment and plan should cover all of the relevant areas of your farm. This is an €˜agreement level€™ SFI action. This means you apply to include it in your agreement instead of entering specific areas of land. You can only apply for this action: if at least one land parcel is linked to your Single Business Identifier ( SBI ), so it€™s shown on your digital maps in one SFI agreement once you€™ve included it in an agreement, you cannot apply for this action again until after its 3-year duration in that agreement ends Eligibility of protected land Protected land Eligibility Sites of special scientific interest ( SSSIs ) Eligible you do not need to get SSSI consent for this action as it€™s an assessment and plan Historic and archaeological features Eligible you do not need to get a SFI HEFER for this action as it€™s an assessment and plan Available area you can enter into this action Not applicable as this is an agreement level SFI action. Rotational or static action Not applicable as this is an agreement level SFI action.</t>
  </si>
  <si>
    <t>You must arrange for a member of the BASIS Professional Register who€™s qualified with the relevant BASIS Certificate in Crop Protection for the crops you€™re growing (a €˜BASIS qualified adviser€™) to visit your farm to: assess your current approach to crop pest, weed and disease management for your land identify and discuss opportunities for using IPM on that land help you to produce a written IPM plan You must make sure that the BASIS qualified adviser does what€™s required above. If you€™re a BASIS qualified adviser, as defined above, you can complete this action yourself. You can use an existing written IPM plan, informed by an IPM assessment, to get paid for this action if it was: carried out by a BASIS qualified adviser written within the last 12 months</t>
  </si>
  <si>
    <t>You must make sure that a BASIS qualified adviser visits your farm to: complete the IPM assessment and help you produce a written IPM plan within 12 months of this action€™s start date reassess your approach to crop pest, weed and disease management and review your written IPM plan in each subsequent year of this action€™s duration</t>
  </si>
  <si>
    <t>You must keep: a written record of your IPM plan, including the IPM assessment evidence that the adviser is a BASIS qualified adviser, such as their name and BASIS registration number You must supply this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</si>
  <si>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actions All SFI actions, except CMOR1 or MOR1 CS options All CS management options ES options All ES revenue options SFI pilot standards All SFI pilot standards</t>
  </si>
  <si>
    <t xml:space="preserve"> Finding a €˜BASIS qualified adviser€™ You can use the BASIS €˜Find an Adviser€™ tool to help you find a BASIS qualified adviser. Completing an IPM assessment You can choose how the BASIS qualified adviser completes this action€™s IPM assessment. There is no standard format. You can find more general guidance about IPM which may help with the assessment in the following: Agriculture and Horticulture Development Board€™s ( AHDB ) IPM hub Linking Environment and Farming€™s ( LEAF ) €˜Simply Sustainable Integrated Pest Management€™ guidance You may also find it helpful to read the Agricultural Industries Confederation€™s (AIC) examples of opportunities for using IPM , which have been promoted by the Voluntary Initiative in: arable farming horticulture Producing a written IPM plan You can choose how to produce this action€™s written IPM plan. There is no standard format. You may find it helpful to use the Voluntary Initiative€™s IPM plan templates . Your written IPM plan could include information such as how you could use an IPM approach to help minimise risks associated with the use of plant protection products. For example: using crop rotations using resistant crop varieties establishing habitat for natural crop pest predators close to cropped area, such as flower-rich grass margins using companion cropping</t>
  </si>
  <si>
    <t>CIPM1 - Assess integrated pest management and produce a plan</t>
  </si>
  <si>
    <t>GRH10</t>
  </si>
  <si>
    <t>Lenient grazing supplement</t>
  </si>
  <si>
    <t>This supplemental action€™s aim is that there€™s a sward with a range of shorter and taller grasses. The purpose of this is to: create habitats for spiders and other insects (including grasshoppers and beetles) provide spring and summer invertebrate food for birds (such as yellowhammers, reed buntings and skylarks)</t>
  </si>
  <si>
    <t>there€™s a sward with a range of shorter and taller grasses. T</t>
  </si>
  <si>
    <t xml:space="preserve"> create habitats for spiders and other insects (including grasshoppers and beetles) provide spring and summer invertebrate food for birds (such as yellowhammers, reed buntings and skylarks)</t>
  </si>
  <si>
    <t>You can only do this supplemental action on eligible land entered into the base action: CLIG3: Manage grassland with very low nutrient inputs (or LIG1 and LIG2 in the SFI 2023 offer). The land parcel must meet one of the following conditions: have at least one boundary that€™s a hedgerow there€™s scrub cover close to the parcel (usually around 200 metres (m) away) You cannot do this action on land that€™s already entered into the following equivalent base actions in a Countryside Stewardship agreement: GS2 (permanent grassland with very low inputs outside SDAs ) GS5 (permanent grassland with very low inputs SDAs ) Eligibility of protected land Protected land Eligibility Sites of special scientific interest ( SSSIs ) Same as your selected base action Historic and archaeological features Same as your selected base action Available area you can enter into this action This is the same as your selected base action. Rotational or static action This is the same as your selected base action.</t>
  </si>
  <si>
    <t>During the growing season, you must manage the sward in a way that can reasonably be expected to achieve this action€™s aim. This includes lightly grazing it with cattle, or a combination of cattle and sheep. You must not cut the area for hay or silage.</t>
  </si>
  <si>
    <t>You must keep evidence to show what you€™ve done to complete this action, such as: stocking records to show grazing activity at a land parcel level field operations at a land parcel level and associated invoices photographs or other documentation to show management undertaken If it€™s not clear that you€™ve done this action in a way that could reasonably be expected to achieve its aim, we may ask for this evidence. You must supply the evidence if we ask for it.</t>
  </si>
  <si>
    <t xml:space="preserve"> Choose the right location To give the most benefits for farmland birds, it€™s best if you locate this supplemental action: on areas next to hedgerows or scrub for yellowhammers and reed buntings away from trees, hedgerows or other tall structures for skylarks so the fields are not more than around 500 metres (m) apart, as these birds do not usually feed more than 300m from their nests on grassland that contains herbs and wildflowers, as it€™s usually more effective but you can also do it on grassland with few herbs or wildflowers (if any) To provide sufficient spring and summer invertebrate food for birds, you€™ll usually need to have at least 1 hectare (ha) of this supplemental action per 100ha of your farm. Managing the sward To help you achieve this action€™s aim, grazing can be rotational or intermittent. However, to avoid the sward becoming rank during rest periods, try to allow your livestock (cattle, or a combination of cattle and sheep) to eat the sward down well during the grazing periods.</t>
  </si>
  <si>
    <t>GRH10 - Supplement: Lenient grazing</t>
  </si>
  <si>
    <t>SPM2</t>
  </si>
  <si>
    <t>Keep native breeds on grazed habitats supplement (50-80%)</t>
  </si>
  <si>
    <t>This supplemental action€™s aim is that at least 50% of the grazing livestock units ( GLU ) on low input grassland habitats are rare native breeds of livestock. The purpose of this is to maintain or increase the number of rare native breed grazing livestock.</t>
  </si>
  <si>
    <t>at least 50% of the grazing livestock units ( GLU ) on low input grassland habitats are rare native breeds of livestock. T</t>
  </si>
  <si>
    <t>maintain or increase the number of rare native breed grazing livestock.</t>
  </si>
  <si>
    <t>You can only do this supplemental action on eligible land that you€™re grazing with livestock, which is entered into one of the following base actions: CLIG3: Manage grassland with very low nutrient inputs (or LIG1 and LIG2 in the SFI 2023 offer) AGF1: Maintain very low density in-field agroforestry on less sensitive land AGF2: Maintain low density in-field agroforestry on less sensitive land GRH6: Manage priority habitat species-rich grassland OFC1: Organic conversion improved permanent grassland OFC2: Organic conversion unimproved permanent grassland OFM1: Organic land management unimproved permanent grassland OFM2: Organic land management improved permanent grassland You cannot do this action on land that€™s already entered into the following equivalent base actions in a Countryside Stewardship agreement: GS2: Permanent grassland with very low inputs outside SDAs GS5: Permanent grassland with very low inputs SDAs OR1: Organic conversion improved permanent grassland OR2: Organic conversion unimproved permanent grassland OT1: Organic land management improved permanent grassland OT2: Organic land management unimproved permanent grassland Eligibility of protected land Protected land Eligibility Sites of special scientific interest ( SSSIs ) Same as your selected base action Historic and archaeological features Same as your selected base action Available area you can enter into this action Same as your selected base action. Rotational or static action Same as your selected base action.</t>
  </si>
  <si>
    <t>During each grazing season, at least 50% of the total GLU on land entered into the relevant base action must be both: pedigree rare native breeds this means they€™re registered in a recognised pedigree breeding book on the UK native animal breeds at risk ( NBAR ) list Where relevant, the stocking density (total GLU ) on land entered into this action must be as required in the applicable base action. To convert livestock numbers into GLU , you must use the following values: Cattle over 2 years old at the start of an agreement year€¯1.0 GLU Cattle over 6 months to 2 years old at the start of an agreement year€¯€“ 0.6 GLU Heavy sheep (for example, most lowland sheep, rams and larger hill sheep) 0.12 GLU Light sheep (for example, store lambs and small hill sheep) 0.08 GLU Goat€¯€“ 0.12 GLU Pony or donkey€¯€“ 0.8 GLU Horse€¯€“ 1.0 GLU Read the €˜advice to help you do this action€™ to find out how to calculate the livestock density. You must produce the following written records: a monthly record of grazing animals at the parcel level unique individual animal movement identification numbers for each eligible animal any changes to the original documentation since the action€™s start date, such as replacement animals the unique individual permanent NBAR breed identification numbers for each eligible animal either the pedigree registration number or birth notification number breed registration records and proof of animal provenance, parentage and availability for each animal</t>
  </si>
  <si>
    <t>You must keep the required written records and supply this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</si>
  <si>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actions Same as your selected base action CS options Same as your selected base action ES options Same as your selected base action SFI pilot standards Same as your selected base action If an action or option cannot be located on the same area, you may be able to do it on a different area in the same land parcel. Read section 6. €˜Eligible land in other funding schemes€™ in the SFI scheme information for more details.</t>
  </si>
  <si>
    <t xml:space="preserve"> How to calculate your native breed percentage Once you€™ve converted your livestock numbers into GLU using the values shown under €˜What to do€™, you can use the Native breed grazing calculator to calculate your native breed percentage. Native breeds This action explains which native breeds are eligible (under €˜What to do€™). If you€™re sourcing native breed animals, try to choose animals which have been bred and reared on a similar habitat to where you€™ll be grazing them. If you have not used native rare breeds before you can get help from graziers or livestock conservation organisations like the Rare Breeds Survival Trust. You may find it helpful to read the Grazing Animals Project Breed Profiles Handbook . Grazing the habitat Cattle, sheep, and ponies graze in different ways. You can achieve greater environmental benefits if you graze with: a livestock species which has suitable grazing traits for the habitat type a suitable number of livestock for the habitat type You can choose to mix livestock to create a more varied habitat. Using an unsuitable livestock species or level of grazing (overgrazing or under grazing) can: damage the habitat increase surface water run-off damage historic or archaeological features, where present Grazing traits: ponies Ponies: can graze swards very tight, and at low stocking densities can create a good structural mosaic have a strong preference for grasses and will graze long coarse grass, such as purple moor-grass are very adaptable grazers, and can graze bracken (particularly in the autumn) and gorse Ponies are not suitable for grazing wet grassland that supports breeding waders during the nesting season. Grazing traits: cattle Cattle: graze on longer swards, and graze less selectively than sheep and on coarser forage, creating a more varied sward structure will graze lower quality forage such as purple moor-grass, particularly in the spring and early summer are well-suited to grazing wet grassland during spring, summer and autumn, particularly where the area supports breeding waders Cattle are more likely to cause poaching due to their size, particularly on wetter areas. You can remove them from the area over the winter months to reduce the risk of poaching. Grazing traits: sheep Sheep: can graze swards very tight are highly selective feeders at fine scale, often selecting young flowers and shoots are unlikely to eat long coarse grasses, such as purple moor-grass, if alternative food is available Sheep are not suitable for grazing wet grassland that supports breeding waders during the nesting season. Neighbouring livestock If the area of land you enter into this action is unfenced and adjacent land is grazed by other farmers or land managers, you may need to: consider the potential impact of neighbouring livestock straying on your ability to meet this action€™s requirements talk to neighbouring farmers or land managers about removing stray livestock from your area of land</t>
  </si>
  <si>
    <t>SPM2 - Supplement: Keep native breeds on grazed habitats (50-80%)</t>
  </si>
  <si>
    <t>AHW9</t>
  </si>
  <si>
    <t>Unharvested cereal headland</t>
  </si>
  <si>
    <t>This action€™s aim is that there€™s an open-structured, spring cereal crop which: is growing in strips or plots remains unharvested during the summer, autumn and winter months The purpose of this is to: provide a summer food source for farmland birds and insects help establish a range of arable plants and other broad-leaved plants provide a habitat that€™s present over the winter for insects and food for seed-eating farmland birds</t>
  </si>
  <si>
    <t>there€™s an open-structured, spring cereal crop which: is growing in strips or plots remains unharvested during the summer, autumn and winter months T</t>
  </si>
  <si>
    <t xml:space="preserve"> provide a summer food source for farmland birds and insects help establish a range of arable plants and other broad-leaved plants provide a habitat that€™s present over the winter for insects and food for seed-eating farmland birds</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</si>
  <si>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This is a €˜limited area€™ action. The total eligible area you enter into any combination of one or more of the €˜limited area€™ actions must not be more than 25% of the total agricultural area of your farm. Read section 1.3 €˜ SFI actions with a limited area€™ in the SFI scheme information for more details (including a list of €˜limited area€™ actions). Eligible land Eligible land type Eligible land cover Compatible land use code Arable land used to grow spring cereal crops (not maize) Arable land Land use codes for arable crops or leguminous and nitrogen-fixing crops Temporary grassland Arable land TG01 Arable land lying fallow Arable land FA01 Eligibility of protected land Protected land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Part of the available area in a land parcel. Rotational or static action This is a rotational or static action this means you can either: move its location for the second and third years of this action€™s duration do it at the same location each year of this action€™s duration</t>
  </si>
  <si>
    <t>You must establish a spring cereal crop (not maize) in strips or plots at a seed rate that€™s reduced to a level that can reasonably be expected to achieve this action€™s aim. As long as this action€™s aim can reasonably be expected to be achieved, you can: undersow a seed mix into the spring cereal crop use a blend or mix of cereals Once the cereal crops strips or plots are established, you must manage them in a way that can reasonably be expected to achieve this action€™s aim. This will usually mean keeping them until around mid-February in the year after establishment. You must not apply the following to the strips or plots: any fertilisers, manures or lime insecticides after around mid-March You must not apply herbicides apart from those containing the following permitted active ingredients: amidosulfuron clodinafop-propargyl fenoxaprop-P-ethyl pinoxaden tri-allate It may not be possible for you to use these permitted active ingredients on all crops. It€™s your responsibility to confirm whether herbicides are approved for use on the affected crop. You can use an existing spring cereal crop strip or plot to get paid for this action if it: meets this action€™s requirements is not already being paid for under another environmental land management scheme action or option, such as CS option AB7 (whole crop cereals)</t>
  </si>
  <si>
    <t>You must do this action each year of its 3-year duration. If this action€™s start date means it€™s too late to establish the cereal crop, you must sow it within 12 months of this action€™s start date. In the final year of this action€™s duration, you must do the action until the end of the winter months or this action€™s end date whichever is earlier.</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</si>
  <si>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OFC3, OFM4, SOH1, AGF1, AGF2, PRF2, PRF4, CIPM1, CNUM1, CSAM1 SFI 2023 actions IPM1, NUM1, SAM1 CS options HS3, HS9, SW5, SW6, OR3, OT3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</si>
  <si>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a spring cereal crop It€™s up to you which spring cereal crop (not maize) to use for this action. If you€™re undersowing a seed mix into the spring cereal crop, you can sow it either: at the same time as the spring cereal crop, using a mix of cereal and companion crops (including pulse crops, such as field beans, lupins and combining peas) as a separate pass into the spring cereal crop Undersowing the spring cereal crop with a flowering companion crop mix can provide flower and insect-rich foraging habitat for farmland birds and pollinator species. If you€™re using a blend or mix of cereals, it can include crops such as: barley oats red millet rye triticale wheat white millet Choosing the right location You can do this action on most soil types, but it€™s best to choose a location with low levels of thistles or problem weeds such as black-grass. This can help the beneficial arable plants in the soil seedbank to: grow without competition provide a range of valuable habitats during the growing season It can also support the arable flora to: set seed during the early summer period retain the insect-rich habitat for foraging farmland birds How to sow the crop To help you achieve this action€™s aim, you can sow your spring cereal crop strips or plots at a seed rate that€™s either: around 50% to 60% of the normal seed rate to a maximum of around 100 kilograms (kg) per hectare (ha) for barley, oats, rye, triticale and wheat it€™s usually between 70kg and 100kg per ha for red and white millet crops it€™s usually between 10kg and 15kg per ha It may also help if you sow your crop with wider spacing (for example, between 20cm and 25cm) between the rows. To minimise damage to plants and wildlife you can: avoid carrying out in-crop mechanical activities between May and harvest sow your crop by the end of April, where possible</t>
  </si>
  <si>
    <t>AHW9 - Unharvested cereal headland</t>
  </si>
  <si>
    <t>SCR2</t>
  </si>
  <si>
    <t>Manage scrub and open habitat mosaics</t>
  </si>
  <si>
    <t>This action€™s aim is that there€™s a mosaic of scrub, grasses and other flowering plants, with: scrub cover managed to maintain the mosaic a variety of shrub species, heights and structure growing trees and deadwood, where relevant The purpose of this is to: provide pollen and nectar sources for beneficial insects, such as bumble bees, solitary bees and butterflies provide food and habitats for birds and mammals improve the quality of woodland edges and transitions between other habitats protect soils and watercourses by reducing soil erosion</t>
  </si>
  <si>
    <t>there€™s a mosaic of scrub, grasses and other flowering plants, with: scrub cover managed to maintain the mosaic a variety of shrub species, heights and structure growing trees and deadwood, where relevant T</t>
  </si>
  <si>
    <t xml:space="preserve"> provide pollen and nectar sources for beneficial insects, such as bumble bees, solitary bees and butterflies provide food and habitats for birds and mammals improve the quality of woodland edges and transitions between other habitats protect soils and watercourses by reducing soil erosion</t>
  </si>
  <si>
    <t>You can do this action on land located below the moorland line that€™s: got existing scrub cover on at least 10% of its area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Temporary grassland Arable land TG01 Arable land lying fallow Arable land FA01 Permanent horticultural crops Permanent crops TC01 Permanent grassland Permanent grassland PG01 Scrub Scrub ungrazeable Notional scrub WO25 NF03 Eligibility of protected land Protected land Eligibility Sites of special scientific interest ( SSSIs ) Ineligible you must not enter any area that€™s designated as an SSSI into this action Historic and archaeological features Ineligible you must not enter any area that contains an historic or archaeological feature into this action. This only affects the area where the feature is located in a land parcel. You can apply for this action on the remaining area in the land parcel if it€™s eligible. Available area you can enter into this action Total or part of the available area in a land parcel. Rotational or static action This action is static. This means you must do it at the same location each year of this action€™s duration.</t>
  </si>
  <si>
    <t>You must manage the area entered into this action in a way that can reasonably be expected to achieve this action€™s aim, including: managing the scrub and non-woody grassy vegetation by patchy cutting or light cattle grazing to maintain the mosaic managing the scrub so there€™s dense and scattered scrub on between 10% and 60% of the area, as well as open areas managing the non-woody vegetation in a way that allows for scrub regeneration and produces a varied sward leaving any standing and fallen deadwood in place, if it€™s safe to do so leaving any mature and veteran trees in place, if it€™s safe to do so You must not: graze or cut the area in a way that means this action€™s aim cannot reasonably be achieved graze the area with sheep, because their grazing habits would not achieve this action€™s aim plough, cultivate or re-seed carry out mechanical activities, such as cutting, in a way that may disturb breeding birds or damage nests, as birds, nests and eggs are protected by law apply fertilisers, manures or lime apply pesticides, except for herbicides, to weed wipe or spot treat to control injurious weeds , invasive non-native species , or nettles release gamebirds carry out supplementary feeding of grazing livestock or game birds, except for providing non-energy mineral blocks carry out drainage works or change existing drainage, without written permission before work starts You can maintain an existing area of scrub and open habitat mosaics to get paid for this action if it: meets this action€™s requirements is not already being paid for under another environmental land management scheme option, such as Countryside Stewardship option WD7 (management of successional areas and scrub)</t>
  </si>
  <si>
    <t>You must keep evidence to show what you€™ve done to complete this action, such as: stocking records to show grazing activity at a land parcel level field operations at a land parcel level and associated invoices photographs or other documentation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</si>
  <si>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CIPM1, CNUM1, CSAM1 SFI 2023 actions IPM1, NUM1, SAM1 CS options No CS revenue options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one of the following supplemental actions on land entered into this base action: SPM4: Keep native breeds on extensively managed habitats supplement (50-80%) SPM5: Keep native breeds on extensively managed habitats supplement (more than 80%)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</si>
  <si>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a location Scrub will grow in unmanaged areas close to trees and shrubs, where there is an existing seed source. You can manage existing scrub at most locations, such as: on field corners alongside woodland edges or hedgerows on land which is difficult to graze Managing scrub and open habitat mosaics You can maintain variety of shrub species, heights and structure by: allowing new areas of young scrub to grow increasing areas of open space within larger patches of scrub The best way to maintain diverse scrub is with light browsing and grazing by cattle and wildlife. It€™s best to graze during the summer and limit the number of cattle. At light density, cattle can graze and trample scrub to create open patches and maintain the habitat mosaic. You may need to cut scrub in some areas if cattle either: are not available will not graze the scrub Low levels of deer browsing can also maintain diverse scrub, but at higher levels can browse out any new scrub. You may want to consider deer management to ensure successful regeneration. You can coppice small patches or areas in autumn or winter, to avoid disturbing breeding birds. Try to avoid cutting patches that are next to each other in subsequent years, as this reduces the foliage available for invertebrates to feed on. You may find it helpful to read Natural England€™s guidance on the management of scrub . Capital grants to help you do this action You can apply for capital grants to help you do this action, including: Fencing (FG1) Sheep netting (FG2) Permanent electric fencing (FG3) Rabbit fencing supplement (FG4) Deer fencing (FG9) Temporary deer fencing (FG10) Wooden field gate (FG12) Badger gate (FG14) Water gates (FG15) Deer high seat (FY1) A new capital item for tree planting in large cages (TE15) is due to be launched later in 2024. Check if you need regulatory consents, permissions or licences You may need to apply for a: felling licence from the Forestry Commission if cutting areas of scrub forestry environmental impact assessment ( EIA ) Read section 10 €˜Get all necessary regulatory consents, permissions and licences in place €™ in the SFI scheme information for more details.</t>
  </si>
  <si>
    <t>SCR2 - Manage scrub and open habitat mosaics</t>
  </si>
  <si>
    <t>AHW7</t>
  </si>
  <si>
    <t>Enhanced overwinter stubble</t>
  </si>
  <si>
    <t>This action€™s aim is that there€™s a post-harvest stubble remaining during the autumn, winter, spring and summer months. The purpose of this is to provide: a winter food source for seed-eating farmland birds spring and summer foraging and nesting habitats for other farmland birds, and habitats for other farmland wildlife</t>
  </si>
  <si>
    <t>there€™s a post-harvest stubble remaining during the autumn, winter, spring and summer months. T</t>
  </si>
  <si>
    <t>provide: a winter food source for seed-eating farmland birds spring and summer foraging and nesting habitats for other farmland birds, and habitats for other farmland wildlife</t>
  </si>
  <si>
    <t>You can do this action on agricultural land located below the moorland line that€™s: identified by you as not being at risk of soil erosion or surface runoff you must keep evidence of this an eligible land type (as defined in section 5.1 €˜Eligible land types for SFI €™ in the SFI scheme information) registered with an eligible land cover on your digital maps declared with a land use code which compatible with the eligible land cover Eligible land Eligible land type Eligible land cover Compatible land use code Arable land used to grow cereals (not maize or sorghum), oilseed rape or linseed Arable land Land use codes for arable crops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Total or part of the available area in a land parcel. Rotational or static action This is a rotational action. This means you must move its location within your crop rotation for the second and third years of this action€™s duration.</t>
  </si>
  <si>
    <t>After harvest, you must leave the stubble from a cereal crop, oilseed rape or linseed until around mid-summer in the following year. You must not apply pre-harvest desiccants to the cereal crop, oilseed rape or linseed. You must not do the following on the stubble area: top or graze it apply any pesticides, except herbicides to control grass weeds by spraying the affected area from around mid-May apply any fertilisers, manures or lime</t>
  </si>
  <si>
    <t>You must do this action each year of its 3-year duration. If this action€™s start date means it€™s too late for you to do this action, you must start doing it within 12 months of the action€™s start date. In the final year of this action€™s duration, you must do the action until around mid-summer or this action€™s end date, whichever is earlier.</t>
  </si>
  <si>
    <t>You must keep written evidence that land entered into this action is not at risk of soil erosion or surface runoff. You can use the soil management plan produced for CSAM1 or SAM1 to identify this. You must also keep evidence to show what you€™ve done to complete this action, such as: field operations at a land parcel level and associated invoices photographs and other documentation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</si>
  <si>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AHW5, OFC3, OFM4, AGF1, AGF2, PRF1, PRF2, PRF3, PRF4, SOH1, CIPM1, CIPM4, CNUM1, CSAM1 SFI 2023 actions IPM1, NUM1, SAM1 CS options AB5, AB11, AB14, AB15, HS3, OR3, OT3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</si>
  <si>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the right location Enhanced overwinter stubbles are suitable for most soil types. On heavier soils, you can use this action to help control moderate to high populations of grass weeds (such as black-grass). The best stubbles are usually produced by: spring sown crops (especially barley) crops managed with less inorganic nitrogen fertiliser and fewer herbicides You can leave the unmanaged stubbles across a whole field or a strip, if the land has been identified by you as not being at risk of soil erosion or surface runoff. You can do CSAM1 (assess soil, produce a soil management plan and test soil organic matter) to help you identify this. You can have several areas of stubbles spread across your farm to link non-crop habitats (such as hedgerows, ponds and field margins). This can help wildlife to move between these habitats, especially in large fields (for example, over 20 hectares (ha)). It will help if you locate the overwinter stubbles in fields which have: low levels of black-grass and thistles arable plants in the soil seedbank, for natural insect-rich habitats for foraging farmland birds known nesting lapwing populations nearby areas of scrub which can provide foraging habitat for turtle doves It€™s usually best to locate strips of overwinter stubbles along south-facing boundaries. This will allow more beneficial weeds to grow, so more seeds are produced for birds to eat. You can cultivate the stubbles area in March to help: create bare ground nesting plots for farmland birds encourage spring germinating rare arable flora How to increase environmental benefits from the stubbles To help to increase the environmental benefits provided by the overwinter stubbles, you can establish them: near to high-value habitats, such as hedgerows, scrub and woodland close to other seed-rich habitat in fields used by nesting lapwing or skylark close to areas of scrub which are suitable for nesting turtle dove on warm, sunny, south-facing headlands which support rare arable plants as larger blocks, so they feed larger flocks of seed-eating farmland birds for longer in the coldest months You can sow a diverse mix of fast-growing crops into your stubbles before you harvest the crop (by undersowing a companion crop) or after harvest (to establish a cover crop). This can help to provide: late season pollen and nectar for wild pollinators food and shelter for farmland birds€¯over winter soil health and water quality benefits by reducing the risk of erosion and run-off The crop mix could include: buckwheat crimson clover fodder radish mustard phacelia To secure the right balance between outcomes for soil health, water quality and wildlife, it€™s best to: establish the crop mix on no more than around half of the stubble area in each field not sow mixes on areas known to support rare arable plants In fields known to support nesting farmland birds such as lapwing, it€™s best to: only establish a cover crop on headlands leave an area unsown in the middle of the field for example, around at least 2ha Other ways to enhance stubbles for farm wildlife include: carrying out winter supplementary feeding for farmland birds next to areas of winter bird food managing your preceding crop with less inorganic nitrogen fertiliser and fewer herbicides varying the height of the stubble by raising and lowering the combine header at harvest</t>
  </si>
  <si>
    <t>AHW7 - Enhanced overwinter stubble</t>
  </si>
  <si>
    <t>SPM3</t>
  </si>
  <si>
    <t>Keep native breeds on grazed habitats supplement (more than 80%)</t>
  </si>
  <si>
    <t>This supplemental action€™s aim is that more than 80% of grazing livestock units ( GLU ) on low input grassland habitats are rare native breeds of livestock. The purpose of this is to maintain or increase the number of rare native breed grazing livestock.</t>
  </si>
  <si>
    <t>more than 80% of grazing livestock units ( GLU ) on low input grassland habitats are rare native breeds of livestock. T</t>
  </si>
  <si>
    <t>During each grazing season, more than 80% of total GLU on land entered into the relevant base action must be both: pedigree rare native breeds this means they€™re registered in a recognised pedigree breeding book on the UK native animal breeds at risk ( NBAR ) list Where relevant, the stocking density (total GLU ) on land entered into this action must be as required in the applicable base action. To convert livestock numbers into GLU , you must use the following values: Cattle over 2 years old at the start of an agreement year€¯1.0 GLU Cattle over 6 months to 2 years old at the start of an agreement year€¯€“ 0.6 GLU Heavy sheep (for example, most lowland sheep, rams and larger hill sheep) 0.12 GLU Light sheep (for example, store lambs and small hill sheep) 0.08 GLU Goat€¯€“ 0.12 GLU Pony or donkey€¯€“ 0.8 GLU Horse€¯€“ 1.0 GLU Read the €˜advice to help you do this action€™ to find out how to calculate the livestock density. You must produce the following written records: a monthly record of grazing animals at the parcel level unique individual animal movement identification numbers for each eligible animal any changes to the original documentation since the action€™s start date, such as replacement animals the unique individual permanent NBAR breed identification numbers for each eligible animal - either the pedigree registration number or birth notification number breed registration records and proof of animal provenance, parentage and availability for each animal</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</si>
  <si>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actions Same as your selected base action CS options Same as your selected base action ES options Same as your selected base action SFI pilot standards Same as your selected base action If an action or option cannot be located on the same area, you may be able to do it on a different area in the same land parcel. Read section 6. €˜Eligible land in other funding schemes€™ in the SFI scheme information for more details.</t>
  </si>
  <si>
    <t>SPM3 - Supplement: Keep native breeds on grazed habitats supplement (more than 80%)</t>
  </si>
  <si>
    <t>CAHL1</t>
  </si>
  <si>
    <t>Pollen and nectar flower mix</t>
  </si>
  <si>
    <t>This action€™s aim is that there€™s an established pollen and nectar flower mix which: is growing in blocks or strips produces areas of flowering plants from late spring and during the summer months The purpose of this is to: provide food for beneficial pollinators, such as bumble bees, solitary bees, butterflies and hoverflies encourage natural crop pest predators as part of an integrated pest management approach if located close to cropped areas</t>
  </si>
  <si>
    <t>there€™s an established pollen and nectar flower mix which: is growing in blocks or strips produces areas of flowering plants from late spring and during the summer months T</t>
  </si>
  <si>
    <t xml:space="preserve"> provide food for beneficial pollinators, such as bumble bees, solitary bees, butterflies and hoverflies encourage natural crop pest predators as part of an integrated pest management approach if located close to cropped areas</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</si>
  <si>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This is a €˜limited area€™ action. The total eligible area you enter into any combination of one or more of the €˜limited area€™ actions must not be more than 25% of the total agricultural area of your farm. Read section 1.3 €˜ SFI actions with a limited area€™ in the SFI scheme information for more details (including a list of €˜limited area€™ actions). Eligible land Eligible land type Eligible land cover Compatible land use code Arable land used to grow crops Arable land Land use codes for arable crops or leguminous and nitrogen-fixing crops Temporary grassland Arable land TG01 Arable land lying fallow Arable land FA01 Permanent crops horticultural Permanent crops TC01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Part of the available area in a land parcel. Rotational or static action This action is rotational or static. This means you can either: move its location for the second and third years of this action€™s duration do it at the same location each year of this action€™s duration</t>
  </si>
  <si>
    <t>You must establish a nectar flower mix as a block or strip on land entered into this action. You must use a grass-free seed mix which includes at least 6 flower species, with no individual species being more than 50% of the total mix by weight. The seed mix must include at least 2 of the following flower species: common knapweed musk mallow oxeye daisy wild carrot yarrow Once the pollen and nectar flower mix block or strip is established (usually from the second spring after sowing), you must maintain it. To do this, you must manage it in a way that can reasonably be expected to achieve this action€™s aim. You must not do the following on the established pollen and nectar flower mix block or strip: cut or graze it with livestock in a way that means this action€™s aim cannot reasonably be expected to be achieved use it for regular vehicular access, turning or storage (for example, storing bales or machinery) apply any fertilisers and manures apply pesticides, except for herbicides to weed wipe or spot treat to control injurious weeds , invasive non-native species , or nettles You can maintain an existing pollen and nectar flower mix block or strip to get paid for this action if it: meets this action€™s requirements is not already being paid for under another environmental land management scheme option, such as Countryside Stewardship ( CS ) option AB1 (nectar flower mix)</t>
  </si>
  <si>
    <t>You must: establish the pollen and nectar flower mix block or strip between early spring and early autumn, within 12 months of this action€™s start date maintain the mix at the same location for a period of time that can reasonably be expected to achieve this action€™s aim this will usually be until the end of the second summer after sowing after this period of time, re-establish the pollen and nectar flower mix block or strip between early spring and early autumn (either at the same location or a different location) and maintain it until this action€™s end date</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</si>
  <si>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OFC3, OFC4, OFC5, OFM4, OFM5, OFM6, AGF1, AGF2, PRF2, CIPM1, CNUM1, CSAM1 SFI 2023 actions IPM1, NUM1, SAM1 CS options OR3, OR4, OR5, OT3, OT4, OT5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</si>
  <si>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a seed mix This action explains the minimum requirement for flower species in the seed mix (under €˜What to do€™). To help you achieve this action€™s aim, you can use a seed mix containing shorter-living legumes and longer-living wildflower species. You can choose to sow a seed mix containing more flower species than this action requires. Using an enhanced mix can be beneficial as it retains more flower species for longer and is likely to mean less frequent re-sowing. It can also help to provide a more varied mix of flowers for beneficial insects. A seed supplier can help you choose a seed mix that€™s the best match for your land and local conditions. Where to sow the seed mix It will usually help if you sow the pollen and nectar flower mix block or strips on sites that: receive plenty of sunlight, to help the plants establish are easy for you to access and manage are low in soil fertility, as grasses and weeds can dominate fertile areas do not have persistent weeds problems, as weeds will complete with the flowers do not contain rare arable wildflowers, such as cornflower, red hemp nettle and shepherd€™s needle, as they need cultivation to thrive You can choose to locate the pollen and nectar flower mix blocks or strips on areas: to square up cultivated areas which could help to speed up farm operations close to cropped areas to help with an integrated pest management ( IPM ) approach To provide a buffer zone for beneficial insects when fields are being sprayed, you can use: blocks between around 0.25 hectares (ha) and 0.5ha strips which are at least around 6 metres (m) wide To help beneficial insects (such as pollinators and crop pest predators) find food, you can have a number of blocks or strips spaced as evenly as possible across your land. For example, you could space 5 blocks or strips of 0.5ha evenly across 100ha. How and when to sow the seed mix Your seed supplier can advise you on an overall sowing rate for the seed mix you choose. This will usually be between 10kg (for light and medium soils, and land with limited fertility) and 20kg (for heavy soils and areas with a higher nutrient status). You can help seeds germinate if you sow into a seedbed that€™s: firm, consolidated, fine, level and weed free warm and moist, which will usually be between March and mid-September If you sow in the autumn, try to sow before frosts and prolonged wet weather. You can get advice from the seed supplier on frost hardy annuals you could use in your seed mix. Before you sow each block or strip, it will help if you mix the seed well. You can either: broadcast the seeds onto the surface of the seedbed to help germination shallow-drill the seeds up to a depth of 1 centimetre (cm) small seeds usually struggle to germinate when sown deeper than 1cm If your seed mix contains larger seeds (such as common vetch and sainfoin), you could sow these first to a depth of 2cm and then sow the rest of the mix later. After you have sown the seed mix, you can roll the seeds (if the soil is dry enough) to improve: seed-to-soil contact retain moisture reduce the risk of slug damage Managing the blocks or strips during establishment During the first spring and summer after sowing, it€™s advisable to check the block or strip regularly to monitor germination. If establishment is poor, you may need to re-sow all or part of it. Your seed supplier can help you if you€™re unsure what to do. During the first 12 months have sowing, you can cut emerging flowers and weeds. This can help to control weeds, so the sown plants can establish. It€™s advisable to cut at a height which removes the top growth of any weeds to avoid: dislodging the roots of seedlings harm to wildlife If your mix includes early flowering annuals (such as black medick, common vetch, crimson clover or phacelia), it€™s advisable to cut either: early, when the plants are less than around 30cm high and do not have flower buds late, after they have finished flowering Maintaining established blocks or strips Once the block or strip is established, this action requires you to maintain it by managing it in a way that can reasonably be expected to achieve this action€™s aim. To help you achieve this action€™s aim, you can: cut or graze around half of the block or strip each year when the first flower buds start to form (usually late May to mid-June) this will help to extend the flowering season alternate which half of the area you cut or graze each year, so nectar is available for pollinators for longer - the cut or grazed plants will take time to recover and will flower later than the uncut area remove any livestock before the sward is grazed to below a height which means the sown plants may be damaged (usually around 10cm) this will also help to give plants time to recover and flower later in the season Once the block or strip has finished flowering, you can choose to: cut or graze the whole area leave a proportion of the area (for example 20%) uncut or ungrazed over winter to provide over-wintering habitat for invertebrates try to avoid leaving the same area uncut or ungrazed each year Where you have left areas uncut or ungrazed over the winter months, you can cut or lightly graze them in the spring (usually March) before the flowers have started to grow. This can help to stop grass weeds from growing. Cutting the block or strip If you€™re cutting the block or strip: check it for signs of nesting birds before you cut it birds, nests and eggs are protected by law, so if you see signs of nesting birds, delay cutting until the birds fledge remove the cut vegetation (where possible) to limit weeds and reduce the risk of it smothering the flower species if it€™s impractical to do this, you can finely chop the vegetation to spread it as thinly as possible</t>
  </si>
  <si>
    <t>CAHL1 - Pollen and nectar flower mix</t>
  </si>
  <si>
    <t>WBD2</t>
  </si>
  <si>
    <t>Manage ditches</t>
  </si>
  <si>
    <t>This action€™s aim is that there are ditches with: varied bankside and aquatic vegetation undisturbed wildlife habitat The purpose of this is to: maintain vegetation that€™s typical of wet ditches provide habitats for wildlife</t>
  </si>
  <si>
    <t>there are ditches with: varied bankside and aquatic vegetation undisturbed wildlife habitat T</t>
  </si>
  <si>
    <t xml:space="preserve"> maintain vegetation that€™s typical of wet ditches provide habitats for wildlife</t>
  </si>
  <si>
    <t>An eligible ditch for this action must: form part of the boundary of a land parcel that€™s located below the moorland line be a man-made, long and narrow linear channel that€™s cut into the ground for the purpose of draining the land or managing water levels have vegetated banks regularly contain standing or flowing water You can only do this action on both sides of the entire length of an eligible ditch. This means you must have management control of both sides of the ditch. You can choose what length to enter. You can enter both sides of a ditch that borders a neighbour€™s land if you meet both of the following conditions: you have a legal right or obligation to manage the ditch you can meet this action€™s requirements You cannot do this action on ditches managed by third parties, such as Internal Drainage Boards . The following features are not eligible for this action: ditches located in a severely disadvantaged area ( SDA ) below the moorland line culverts or underground drains natural watercourses, such as streams non-linear water features, such as ponds, lakes or reservoirs grips, gutters and foot drains Eligibility of protected land Protected land Eligibility Sites of special scientific interest ( SSSIs ) Ineligible you must not enter any area that€™s designated as an SSSI into this action Historic and archaeological features Eligible you must get a SFI HEFER before you do this action (read section 5.6€¯€™Land with historic or archaeological features€™ in the SFI scheme information to find out how to do this) Available area you can enter into this action Not applicable, as this is a linear action. Rotational or static action This action is static. This means you must do it at the same location each year of this action€™s duration.</t>
  </si>
  <si>
    <t>You must manage the ditch in a way that can reasonably be expected to achieve this action€™s aim, including: cutting vegetation at the top of the ditch bank in rotation, so you only cut up to half the length of the ditch bank in any year of this action€™s 3-year duration carrying out in-channel management on any section of the ditch no more than once during this action€™s 3-year duration this includes cleaning out silt or vegetation and cutting vegetation in the ditch channel To minimise disturbance to wildlife, you must only manage the ditch during the autumn, winter and early spring (usually September to late March). You must not re-profile or increase the width or depth of the ditch.</t>
  </si>
  <si>
    <t>You must do this action from its start date, throughout each year of its 3-year duration. If this action€™s start date means it€™s too late for you to do this action, you must start doing it within 12 months of the action€™s start date.</t>
  </si>
  <si>
    <t>Keep evidence to show what you€™ve done to complete this action, such as: ditch management operations at a land parcel level and associated invoices photographs and other documentation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</si>
  <si>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All SFI 2024 actions, except BND1 SFI 2023 actions All SFI 2023 actions CS options All CS management options, including BE3 (management of hedgerows) ES options All ES revenue options, except boundary options SFI pilot standards All SFI pilot standards, including all levels of the SFI pilot hedgerows standard If an action or option cannot be located on the same area, you may be able to do it on a different area in the same land parcel. Read section 6. €˜Eligible land in other funding schemes€™ in the SFI scheme information for more details.</t>
  </si>
  <si>
    <t xml:space="preserve"> Managing ditches To help you achieve this action€™s aim, you can: cut vegetation at the top of the ditch bank (where needed) with cutters set high, to leave vegetation that€™s around 10 centimetres (cm) to 15cm high carry out bankside cutting (where needed) during late summer or early autumn carry out in-channel management using appropriate machinery and without affecting the banks work from one bank only, leaving short stretches (for example, around 10m to 20m) undisturbed to provide a refuge for wildlife progress work upstream to allow dislodged pieces of plant and invertebrates to float downstream to live in the ditch again leave around at least one third of the overall ditch area undisturbed each year managing your ditches less frequently will provide undisturbed habitat for wildlife (including the water vole) Make sure you follow the farming rules for water . These require you to take steps to stop manure, fertiliser or soil getting into waterbodies and watercourses. Maintaining good water quality in your ditches will help to protect insects or plants that live in them. Before you carry out work on your ditches, check if you need to get consents or permissions. Read section 10 €˜Get all necessary regulatory consents, permissions and licences in place€™ in the SFI scheme information. You may find it helpful to read Farm Wildlife€™s guidance on managing ditches . Cutting vegetation To cut vegetation at the top of the ditch bank in rotation, you can either: cut one side of the ditch and leaving the other side uncut as a wildlife corridor leave alternate sections uncut You can control weeds on the ditch banks by cutting or hand pulling. If you need to use herbicides: follow the label recommendations get permission from the Environment Agency before you use herbicides to control weeds and unwanted vegetation in or close to a river or watercourse Carrying out in-channel management Carrying out in-channel management of your ditches on a rotation will help to provide a range of different conditions to benefit many species. For example: insects, that need shallow water, muddy areas and flower-rich bankside vegetation birds like warblers, that need tall vegetation and reeds If you carry out in-channel management on the ditch, you can deposit the silt and vegetation (known as €˜spoil€™) on the field adjacent to the ditch. When you do this, try to avoid: spreading the spoil on areas of grassland that are rich in wildflowers using the spoil to infill low lying areas spreading the spoil on the ditch€™s bank face spreading the spoil on land with historic or archaeological features creating spoil banks in wet grassland and wetland areas, as they stop water movement on and off the field Controlling invasive, non-native species Invasive, non-native species (such as Himalayan balsam and Japanese knotweed) can shade out or out-complete native plants in your ditch. You may need to: monitor and control invasive, non-native plant species to stop them spreading get advice if your ditch contains invasive water plants like crassula (New Zealand pygmyweed) or floating pennywort dispose of ditch spoil that contains invasive, non-native species safely , instead of spreading it on the adjacent field</t>
  </si>
  <si>
    <t>WBD2 - Manage ditches</t>
  </si>
  <si>
    <t>Metres</t>
  </si>
  <si>
    <t>GRH1</t>
  </si>
  <si>
    <t>Manage rough grazing for birds</t>
  </si>
  <si>
    <t>This action€™s aim is that there€™s rough grassland with: a sward that has a range of heights areas of very short grass for bird feeding and nesting from the spring areas of surface water and wet features during the autumn and winter months minimal scrub, bracken and dense rush The purpose of this is to provide habitats for upland breeding birds and other wildlife.</t>
  </si>
  <si>
    <t>there€™s rough grassland with: a sward that has a range of heights areas of very short grass for bird feeding and nesting from the spring areas of surface water and wet features during the autumn and winter months minimal scrub, bracken and dense rush T</t>
  </si>
  <si>
    <t>provide habitats for upland breeding birds and other wildlife.</t>
  </si>
  <si>
    <t>You can do this action on agricultural land located within a less favoured area ( LFA ) below the moorland line that€™s: a land parcel of at least 2ha an eligible land type (as defined in section 5.1 €˜Eligible land types for SFI €™ in the SFI scheme information) registered with an eligible land cover on your digital maps declared with a land use code which is compatible with the eligible land cover To be eligible for this action, the land must be at least one of the following: €˜Upland breeding bird areas for CS €™ you can find this on the MAGIC website (it€™s not the same as €˜Priority Species for CS Targeting€™) adjacent to a site of special scientific interest ( SSSI ) you can find this on the MAGIC website high or medium priority on the €˜Flood Risk Management Priorities (England)€™ data layer you can find this on the MAGIC website adjacent to or includes a watercourse part of the Nature for Climate Peatland Grant Scheme you must be able to provide evidence of this from the relevant Peat Partnership Eligible land Eligible land type Eligible land cover Compatible land use code Permanent grassland Permanent grassland PG01 Eligibility of protected land Land or features with protection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Total or part of the available area in a land parcel. Rotational or static action This action is static. This means you must do it at the same location each year of this action€™s duration.</t>
  </si>
  <si>
    <t>You must manage the grassland by grazing or cutting it in a way that can reasonably be expected to achieve this action€™s aim. You must not: graze or cut the grassland in a way that means this action€™s aim cannot reasonably be achieved carry out mechanical activities in a way that may disturb breeding birds or damage nests, as birds, nests and eggs are protected by law apply digestate or any other industrial by-product, including paper waste apply any fertilisers and manures apply pesticides, except for herbicides to weed wipe or spot treat to control injurious weeds , invasive non-native species , or nettles carry out supplementary feeding, except for providing non-energy based mineral blocks allow areas of scrub to develop on land containing historic or archaeological features carry out drainage works or change existing drainage, without written permission before work starts You can maintain an existing area of rough grazing to get paid for this action if it: meets this action€™s requirements is not already being paid for under another environmental land management scheme option, such as Countryside Stewardship option UP2 (manage rough grazing for birds)</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</si>
  <si>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OFC2, OFM2, CIPM1, CNUM1, CSAM1 SFI 2023 actions IPM1, NUM1, SAM1 CS options OR2, OT2, OT6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one of the following supplemental actions on land entered into this base action: GRH11: Cattle grazing supplement (non-moorland) SPM4: Keep native breeds on extensively managed habitats supplement (50-80%) SPM5: Keep native breeds on extensively managed habitats supplement (more than 80%)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</si>
  <si>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the right location Try to locate this action on sites that: are open, with any surrounding hedges less than about 2 metres high experience minimal disturbance (from footpaths or public rights of way) have no overhead pylons or power lines have no in-field trees are not next to woodland are not steep (for example above 14:1 or 8 degrees) have either an existing high water table or surface water attributes (flushes, ditches, foot drains) or where they could be created Managing the sward To help you achieve this action€™s aim, you can graze the sward during the spring and summer to: provide a range of sward heights, including areas of very short grass (usually no more than 5 centimetres high) - upland waders will usually benefit most if the areas of very short grass cover around half the area in each field remove the year€™s grass growth by autumn this will help to achieve the appropriate sward conditions for upland waders to feed and nest in from the following spring After the bird breeding season (usually from mid-July until early March), you can manage the sward by grazing or cutting (or a combination of both). Managing areas of surface water and wet features You can manage surface water and wet features (such as scrapes, flushes and foot drains) to provide muddy areas at the water€™s edge for waders to feed. Ideally, at least around half of the edges of surface water and wet features will have exposed mud at the water€™s edge. This will help to promote invertebrate activity and allow chicks access to feed. You may need to consider if it€™s necessary tore-profile man-made wet features annually and maintain them as needed. Managing scrub, bracken and dense rush To minimise scrub, bracken and dense rush, you can carry out mechanical activities, as long as they are not done in a way that may disturb breeding birds or damage nests . When you carry out mechanical activities, try to do this when the ground is dry. You can manage dense rush, so that soft and hard rushes are minimal. This usually means they cover no more than around 20% of the area entered into this action.</t>
  </si>
  <si>
    <t>GRH1 - Manage rough grazing for birds</t>
  </si>
  <si>
    <t>SCR1</t>
  </si>
  <si>
    <t>Create scrub and open habitat mosaics</t>
  </si>
  <si>
    <t>This action€™s aim is that there€™s a mosaic of scrub, grasses and other flowering plants with: scrub cover allowed to develop, and managed so the mosaic is maintained a variety of species, heights, and structure growing trees and deadwood, where relevant The purpose of this is to: provide pollen and nectar sources for beneficial insects, such as bumble bees, solitary bees and butterflies provide food and habitats for birds and mammals improve the quality of woodland edges and transitions between other habitats protect soils and watercourses by reducing soil erosion</t>
  </si>
  <si>
    <t>there€™s a mosaic of scrub, grasses and other flowering plants with: scrub cover allowed to develop, and managed so the mosaic is maintained a variety of species, heights, and structure growing trees and deadwood, where relevant T</t>
  </si>
  <si>
    <t>You can do this action on land located below the moorland line that€™s: got existing scrub cover on less than 10% of its area an eligible land type (as defined in section 5.1 €˜Eligible land types for SFI €™ in the SFI scheme information) registered with an eligible land cover on your digital maps declared with a land use code that€™s compatible with the eligible land cover Eligible land Eligible land type Eligible land cover Compatible land use code Arable land used to grow crops Arable land Land use codes for arable crops or leguminous and nitrogen-fixing crops Temporary grassland Arable land TG01 Arable land lying fallow Arable land FA01 Permanent horticultural crops Permanent crops TC01 Improved permanent grassland Permanent grassland PG01 Scrub Scrub ungrazeable Notional scrub WO25 NF03 Eligibility of protected land Protected land Eligibility Sites of special scientific interest ( SSSIs ) Ineligible you must not enter any area that€™s designated as an SSSI into this action Historic and archaeological features Ineligible you must not enter any area that contains an historic or archaeological feature into this action. This only affects the area where the feature is located in a land parcel. You can apply for this action on the remaining area in the land parcel if it€™s eligible. Available area you can enter into this action Total or part of the available area in a land parcel. Rotational or static action This action is static. This means you must do it at the same location each year of this action€™s duration.</t>
  </si>
  <si>
    <t>You must manage the area entered into this action in a way that can reasonably be expected to achieve this action€™s aim, including: allowing scrub to regenerate naturally or by planting a variety of native scrub species, or a combination of both, so scrub cover develops on between 10% and 60% of the area controlling wild herbivores to allow scrub to develop and establish leaving any standing and fallen deadwood in place, if it€™s safe to do so leaving any mature and veteran trees in place, if it€™s safe to do so making sure tree guards do not damage growing trees, and removing them once trees are established You must not: cut vegetation, unless it€™s to control injurious weeds and invasive non-native species including non-native trees, soft and hard rush, or nettles graze with livestock apply fertilisers, manures or lime apply pesticides, except for herbicides, to weed wipe or spot treat to control injurious weeds , invasive non-native species , or nettles plough, cultivate, re-seed, harrow or roll release gamebirds use supplementary feed for game birds carry out drainage works or change existing drainage, without written permission before work starts</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</si>
  <si>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CIPM1, CNUM1, CSAM1 SFI 2023 actions IPM1, NUM1, SAM1 CS options No CS revenue options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</si>
  <si>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a location You can create scrub on a range of soil types. It will grow in unmanaged areas close to areas of trees and shrubs, where there is an existing seed source. You can create scrub at most locations, but it can work well: on field corners alongside woodland edges or hedgerows on land which is difficult to graze Allowing scrub to regenerate naturally The simplest way to create scrub and open habitat mosaics is to allow them to regenerate naturally (natural colonisation). Allowing scrub to regenerate naturally works best where existing areas of scrub (like hedgerows and woodland scrub) can spread. Natural colonisation may not work if, for example, there€™s: no local seed source (like trees or scrub that are left to set seed) a lot of dense, rank (overgrown and tussocky) vegetation like bracken You can allow native scrub species to develop that will be less than around 5 metres tall, such as: hawthorn bramble blackthorn hazel dog and field rose low growing willow species If you have calcareous soils, species could include: box privet buckthorn dogwood Acid soils often have gorse or broom. Planting native scrub species You can plant a variety of native scrub species: to increase the diversity of shrub species so you do a combination of natural colonisation and planting if natural colonisation is not likely to work You can plant the native scrub species between November and March. Try to: choose a wide range of native species that suit the location mix species randomly plant in clumps and leave unplanted gaps this will create open ground as part of the mosaic If you€™re intending to create scrub by planting or allowing natural colonisation of tree species, check if it falls under the Forestry Commission€™s definition of €˜woodland€™ . If it does, you may need to apply for a forestry environmental impact assessment . Planting nursery-grown stock is the easiest method, but it can be expensive. Alternatively, you can spread seed. This is cheaper than planting, but it will take longer to establish. Find out where you can get plants and seeds from. Managing the scrub You may find it helpful to read Natural England€™s guidance on the management of scrub . Capital grants to help you do this action You can apply for capital grants to help you do this action, including: Supply and plant tree (TE4) Supplement for use of individual tree shelters (TE5) Fencing (FG1) Sheep netting (FG2) Permanent electric fencing (FG3) Rabbit fencing supplement (FG4) Deer fencing (FG9) Temporary deer fencing (FG10) Wooden field gate (FG12) Badger gate (FG14) Water gates (FG15) Deer high seat (FY1) A new capital item for tree planting in large cages (TE15) is due to be launched later in 2024.</t>
  </si>
  <si>
    <t>SCR1 - Create scrub and open habitat mosaics</t>
  </si>
  <si>
    <t>CAHL4</t>
  </si>
  <si>
    <t>4m to 12m grass buffer strip on arable and horticultural land</t>
  </si>
  <si>
    <t xml:space="preserve"> calculate the hectarage by: measuring the length of the buffer strip in metres (m) multiplying that length by the relevant width (6m to 12m) to give the area in m 2 dividing that area by 10</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</si>
  <si>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Arable land used to grow crops Arable land Land use codes for arable crops or leguminous and nitrogen-fixing crops Temporary grassland Arable land TG01 Arable land lying fallow Arable land FA01 Permanent crops horticultural Permanent crops TC01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Part of the available area in a land parcel. Rotational or static action This action is static. This means you must do it at the same location each year of this action€™s duration.</t>
  </si>
  <si>
    <t>You must establish and maintain a grass strip on land entered into this action that€™s: at least 4m to 12m wide (on average in each land parcel) - it can be more than 12m wide, but you€™ll only be paid for the 12m width on the edge of arable and horticultural land The grass strip must buffer an existing landscape feature, or certain heritage features, such as: hedgerows stone walls woodland ditches, rivers and streams upstanding historic or archaeological features, such as earthworks, in-field structures or buildings You can also locate the grass buffer strip next to: trackways that channel run-off water directly into a watercourse fence lines that form links between areas of wildlife habitat You must make sure the grass strip is in addition to any regulatory requirements relating to buffer strips. Once the grass strip is established, you must manage it in a way that can reasonably be expected to achieve this action€™s aim. During late summer, after the bird breeding season, you must cut part of the grass strip€™s width next to the edge of the crop or fallow land. You must do this along as much of the strip€™s length as possible. This is to provide some shorter vegetation and a range of habitat types. You must not do any of the following on the grass buffer strip once it€™s established: use it for regular vehicular access, turning or storage (for example, storing bales or machinery) apply fertilisers or manures apply pesticides, except for herbicides to weed wipe or spot treat to control injurious weeds , invasive non-native species , or nettles You can maintain an existing grass buffer strip to get paid for this action if it: meet this action€™s requirements are not already being paid for under another environmental land management scheme option, such as Countryside Stewardship ( CS ) option SW1 (4m to 6m buffer strip on cultivated land)</t>
  </si>
  <si>
    <t>You must: establish the grass buffer strip within the first 12 months of this action€™s duration maintain the same area of grass buffer strip in each subsequent year of this action€™s duration</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</si>
  <si>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OFC3, OFC4, OFC5, OFM4, OFM5, OFM6, AGF1, AGF2, PRF2, CIPM1, CNUM1, CSAM1 SFI 2023 actions IPM1, NUM1, SAM1 CS options OR3, OR4, OR5, OT3, OT4, OT5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</si>
  <si>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How and where to establish the grass buffer strip You can establish the grass buffer strip by either: sowing a seed mix using natural regeneration This action explains which landscape features the grass strip is required to buffer (under €˜What to do€™). To help you decide where to locate the grass buffer strip, you may find it helpful to do CSAM1 (assess soil, produce a soil management plan and test soil organic matter). Sowing a seed mix Sowing a seed mix can establish the grass buffer more quickly, which can reduce the risk of soil erosion. You can choose a seed mix that contains native grass species, such as: timothy cocksfoot crested dog€™s tail red fescue smooth-stalked meadow grass It can help the seeds to germinate if they€™re sown into a seedbed that€™s: firm, consolidated, fine, level and weed free moist, which will usually be the case in the autumn you can sow in the spring, but you may need to increase the sowing rate, depending on weather and soil type You can either: broadcast the seeds onto the surface of the seedbed to help germination shallow-drill the seeds up to a depth of 1 centimetre (cm). Small seeds may struggle to germinate when sown deeper than 1cm If the soil is dry enough, rolling after you have sown the seeds can: improve seed-to-soil contact keep moisture reduce the risk of slug damage Your seed supplier can: help you choose a seed mix that€™s the best match for your land and local conditions advise you on an overall sowing rate for the seed mix you choose Using natural regeneration Using natural regeneration means the grasses in the buffer strip are local to your area. It can take longer to establish the buffer strip, but it may cost less. To encourage the seeds that are already in the soil to germinate, you can cultivate the soil between spring and late summer. Maintaining the established grass buffer strip Once the grass buffer strip is established, this action requires you to maintain it by managing it in a way that can reasonably be expected to achieve this action€™s aim. Cutting part of the grass buffer strip€™s width This action requires you to cut part of the grass strip€™s width next to the edge of the crop or fallow land during late summer (after the bird breeding season). It€™s up to you how much of the buffer strip€™s width you cut.   Cutting up to half of the width from the edge of the crop or fallow land can help to provide: short grass for birds to forage in (such as grey partridge chicks) mid-length grass for species like brown hares long, rarely cut tussocky grass to give shelter and nesting places for birds and invertebrates You can stagger cutting, so you do not cut all your buffer strips at the same time. during late summer. This will usually mean there€™s always habitat available for invertebrates and small mammals. Where possible, remove the cut vegetation to limit weeds and reduce the risk of it smothering the flower species. If this is impractical, you can finely chop the vegetation to spread it as thinly as possible. Controlling weeds You may need to control weeds when they appear. To control weeds like docks, nettles, thistles and common ragwort, you can cut the affected area, providing there€™s still an intact grass sward. This action also allows you to use herbicides to weed wipe or spot treat weeds.</t>
  </si>
  <si>
    <t>CAHL4 - 4m to 12m grass buffer strip on arable and horticultural land</t>
  </si>
  <si>
    <t>BND1</t>
  </si>
  <si>
    <t>Maintain dry stone walls</t>
  </si>
  <si>
    <t xml:space="preserve"> for both sides</t>
  </si>
  <si>
    <t>This action€™s aim is that there are dry stone walls maintained in good condition. The purpose of this is to: help manage livestock provide habitats for lichens, mosses, ferns and wildlife maintain landscape and historic features</t>
  </si>
  <si>
    <t>there are dry stone walls maintained in good condition. T</t>
  </si>
  <si>
    <t>help manage livestock provide habitats for lichens, mosses, ferns and wildlife maintain landscape and historic features</t>
  </si>
  <si>
    <t>An eligible dry stone wall for this action must be: a vertical structure that€™s built of natural stone of traditional dry stone wall construction, which can include mortar if it€™s part of the traditional stone walling method at least 20m long, measured between 2 end points read the €˜advice to help you do this action€™ to find out how to measure this in good condition To be in good condition, the dry stone wall must be both: continuous which means there are no gaps along its entire length, apart from structural wall features such as stiles, stone gate posts and sheep creeps complete which means the wall is at a height in keeping with local style, with top stones in place if they€™re part of the local style You can only do this action on both sides of the entire length of an eligible dry stone wall. This means you must have management control of both sides of the wall. You can enter both sides of a roadside wall, or a wall that borders a neighbour€™s land, if you meet both of following conditions: you have a legal right or obligation to maintain the wall you can meet this action€™s requirements Eligibility of protected land Protected land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Not applicable, as this is a linear action. Rotational or static action This action is static. This means you must do it at the same location each year of this action€™s duration.</t>
  </si>
  <si>
    <t>You must maintain dry stone walls entered into this action in good condition. To do this, you must: visually check their condition and identify any sections that need to be repaired carry out any necessary repairs keep a record (written or photographic) of any need for repairs you identify, and the repair work you do including the date you identify the need and when the work was done When you carry out any necessary repairs, you must: use materials in keeping with the local style and characteristic retain any existing features such as top stones, sheep creeps, stiles and stone gate posts</t>
  </si>
  <si>
    <t>You must: check the condition of the walls at least once during each year of this action€™s 3-year duration carry out any necessary repairs within 12 months of identifying the need, or by this action€™s end date if you identify the need for repairs during the final year of this action€™s duration</t>
  </si>
  <si>
    <t>You must keep the required written or photographic record and supply this evidence if we ask for it.</t>
  </si>
  <si>
    <t>You can do the following actions or options in land parcels with eligible boundaries entered into this action. Scheme Action or option codes SFI 2024 actions All SFI 2024 actions, except CHRW1, CHRW2, CHRW3 and WBD2 SFI 2023 actions All SFI 2023 actions, except HRW1, HRW2 and HRW3 CS options All CS management options, except BE3 ES options All ES revenue options, except boundary options SFI pilot standards All SFI pilot standards, except the SFI pilot hedgerows standard</t>
  </si>
  <si>
    <t xml:space="preserve"> How to measure your dry stone wall For the purposes of measuring the length of your dry stone wall between 2 end points, an end point can include: a point of connection with another wall, bank, hedgerow or other features (such as a fence, ditch, road or building) where the feature changes management control or ownership How to visually check the condition of your dry stone walls This action requires you to visually check the condition of your dry stone walls and identify any sections that need to be repaired. When you visually check the condition of your walls, factors which could mean your walls need to be repaired include: fallen stones slumping overgrown vegetation damage by livestock damage by machinery How to carry out necessary repairs Before you carry out any necessary repairs on your dry stone wall, check for signs of nesting birds. Birds, nests and eggs are protected by law , so if you see signs of nesting birds, delay work until the birds fledge. When you carry out any necessary repairs on your wall, try to: use original stone, where it€™s available if the original stone is not reusable, you can source replacement stone that€™s in keeping with the local style and characteristic (which has not been removed from other walls or historic or archaeological features) if stones have lichen growth, use them with the growth facing outwards transport materials when conditions are dry this will help to avoid damaging the ground remove leftover materials from the site after you have carried out the work restore the ground where you have carried out the work</t>
  </si>
  <si>
    <t>BND1 - Maintain dry stone walls</t>
  </si>
  <si>
    <t>WBD9</t>
  </si>
  <si>
    <t>Nil fertiliser supplement</t>
  </si>
  <si>
    <t>This supplemental action€™s aim is that no fertilisers or manures are applied on arable land or permanent grassland. The purpose of this is to reduce the risk of nitrate loss into ground and surface water.</t>
  </si>
  <si>
    <t>no fertilisers or manures are applied on arable land or permanent grassland. T</t>
  </si>
  <si>
    <t>educe the risk of nitrate loss into ground and surface water.</t>
  </si>
  <si>
    <t>You can only do this supplemental action on eligible land that€™s entered into one of the following base actions: WBD4: Arable reversion to grassland with low fertiliser input WBD5: Manage intensive grassland adjacent to a watercourse You cannot do this supplemental action on land that€™s already entered into equivalent base actions in a Countryside Stewardship ( CS ) agreement. This includes: SW7: Arable reversion to grassland with low fertiliser input SW8: Management of intensive grassland adjacent to a watercourse Eligible land Same as your selected base action. Eligibility of protected land Same as your selected base action. Available area you can enter into this action Same as your selected base action. Rotational or static action Same as your selected base action.</t>
  </si>
  <si>
    <t>You must not apply any fertilisers or manures on the land entered into this supplemental action.</t>
  </si>
  <si>
    <t>You must do this supplemental action from its start date, throughout each year of its duration.</t>
  </si>
  <si>
    <t>You must keep evidence to show what you€™ve done to complete this action, such as: field operations at a land parcel level and associated invoices (as relevant) photographs and other documentation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</si>
  <si>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Same as your selected base action SFI 2023 actions Same as your selected base action CS options Same as your selected base action ES options Same as your selected base action SFI pilot standards Same as your selected base action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</si>
  <si>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WBD9 - Supplement: Nil fertiliser</t>
  </si>
  <si>
    <t>SOH4</t>
  </si>
  <si>
    <t>Winter cover following maize crops</t>
  </si>
  <si>
    <t>This action€™s aim is that there€™s a cover crop on land, which: is not at risk of soil erosion or surface runoff follows the early harvest of a maize crop is well-established during the winter months The purpose of this is to: reduce the risk of soil erosion and surface runoff slow water runoff and allow soil to settle out, to reduce losses of sediment, nutrients and chemicals carried in the surface water help take up nutrients and reduce nitrate leaching through the soil profile</t>
  </si>
  <si>
    <t>there€™s a cover crop on land, which: is not at risk of soil erosion or surface runoff follows the early harvest of a maize crop is well-established during the winter months T</t>
  </si>
  <si>
    <t>reduce the risk of soil erosion and surface runoff slow water runoff and allow soil to settle out, to reduce losses of sediment, nutrients and chemicals carried in the surface water help take up nutrients and reduce nitrate leaching through the soil profile</t>
  </si>
  <si>
    <t>You can do this action on agricultural land located below the moorland line that€™s: used to grow maize crops identified by you as not being at risk of soil erosion or surface runoff you must keep written evidence of this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Arable land used to grow crops Arable land Land use codes for arable crops or leguminous and nitrogen-fixing crops Temporary grassland Arable land TG01 Arable land lying fallow Arable land FA01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Total or part of the available area in a land parcel. Rotational or static action This action is rotational or static. This means you can either: move its location for the second and third years of this action€™s duration do it at the same location each year of this action€™s duration</t>
  </si>
  <si>
    <t>After harvesting a maize crop, you must establish a winter cover crop which will not be harvested as a cash crop. You must do this by either: establishing a quick growing cover crop as soon as possible after harvesting the maize crop, in time to establish before winter (this will usually be no later than around mid-October) maintaining a cover crop that was established by under-sowing the maize crop earlier in the year that remains after the maize crop is harvested A €˜cash crop€™ means a crop grown to be harvested for commercial use. You must maintain the cover crop in a way, and for a period of time, that can reasonably be expected to achieve this action€™s aim. For the purposes of this action€™s aim, the cover crop will be well-established if there€™s: leafy vegetation that€™s sufficiently well grown to protect the soil surface during the winter months (usually from early December until late February) minimal bare soil You can graze the cover crop with livestock, but it must still be well-established over the winter months. Once the maize crop has been harvested, you must not apply fertilisers or manures to the winter cover crop during the autumn or winter months. If you€™re establishing an early-sown spring crop, you may destroy the winter cover crop before the end of the winter months. You must not do this more than 6 weeks before you establish the early-sown spring crop. When you destroy the cover crop, you should try to minimise risks such as compaction, poaching, soil runoff or erosion. If something happens which means you cannot complete this action, you must tell the Rural Payments Agency about this in writing as soon as possible. For example, if there€™s prolonged adverse weather. Read section 13.2 €˜What you must do if you cannot comply with your agreement€™ in the SFI scheme information to find out how to do this..</t>
  </si>
  <si>
    <t>You must do this action each year of its 3-year duration. If this action€™s start date means it€™s too late for you to do this action, you must start doing it within 12 months of the action€™s start date. In the final year of this action€™s duration, you must do this action until the end of the winter months or this action€™s end date, whichever is earlier.</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</si>
  <si>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OFC3, OFM4, AGF1, AGF2, PRF1, PRF2, PRF3, PRF4, SOH1, SOH2, CIPM1, CIPM4, CNUM1, CSAM1 SFI 2023 actions IPM1, IPM4, NUM1, SAM1 CS options OR3, OT3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</si>
  <si>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your cover crop You can choose what quick growing cover crop to use. It can be a: mix, such as rye, vetch, phacelia, barley, mustard or tillage radish single crop, including grass, such as Italian ryegrass To help you achieve this action€™s aim, the cover crop will need to be frost tolerant, so there€™s a well-established cover crop during the winter months. Which cover crop you choose will depend on factors such as: herbicide use and application rates on the preceding maize crop the other crops you grow in the rotation if and how the cover crop will be destroyed for the following spring crop If you€™re in an area with a shorter growing season you may need to choose plants that germinate and grow in cooler weather. Your seed supplier can help you choose a seed mix that€™s the best match for your land and local conditions. You may find it helpful to read the Agriculture and Horticulture Development Board ( AHDB ) information sheet about cover crops . How to establish the cover crop To establish the cover crop, you can: remove areas of soil compaction, as long as you avoid causing damage to historic or archaeological features drill or broadcast the seed mix this can include undersowing before you have harvested the maize sow at a suitable seed rate to provide a well-established cover during the winter months your seed supplier can advise on a suitable sowing rate Doing this action next to a watercourse If you€™re doing this action on a land parcel that€™s next to a watercourse, you could consider doing the following SFI actions on areas next to the maize and cover crops: CAHL4: 4m to 12m buffer strip on arable and horticultural land BFS1: 12m to 24m watercourse buffer strip on cultivated land These buffer strips actions can help to capture any sediment or organic materials carried in runoff water.</t>
  </si>
  <si>
    <t>SOH4 - Winter cover following maize crops</t>
  </si>
  <si>
    <t>WBD6</t>
  </si>
  <si>
    <t>Remove livestock from intensive grassland during the autumn and winter (outside SDAs)</t>
  </si>
  <si>
    <t>This action€™s aim is that, during the autumn and winter months, there€™s intensive grassland next to a watercourse, with: no livestock on it minimal waterlogging, compaction and poaching The purpose of this is to: improve soil structure reduce surface runoff and risk of diffuse pollution to the watercourse help to reduce the risk of flooding</t>
  </si>
  <si>
    <t>during the autumn and winter months, there€™s intensive grassland next to a watercourse, with: no livestock on it minimal waterlogging, compaction and poaching T</t>
  </si>
  <si>
    <t>improve soil structure reduce surface runoff and risk of diffuse pollution to the watercourse help to reduce the risk of flooding</t>
  </si>
  <si>
    <t>You can do this action on agricultural land which drains directly into a watercourse (stream, river or lake) that€™s: located outside severely disadvantaged areas ( SDAs ) below the moorland line ( SDAs ) below the moorland line typically receiving at least 100 kilograms (kg) of nitrogen per ha per year identified by you as being prone to waterlogging, compaction and poaching you must keep written evidence of this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Temporary grassland Arable land TG01 Improved permanent grassland Permanent grassland PG01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Total available area in a land parcel. Rotational or static action This action is static. This means you must do it at the same location each year of this action€™s duration.</t>
  </si>
  <si>
    <t>You must remove all livestock from the land for at least 5 consecutive months during the autumn and winter months. This period will usually be between October and March. For the purposes of this action, livestock includes cattle, sheep, goats, ponies and horses, as relevant. You must keep a written record of: grazing activity on each land parcel entered into this action to show you€™ve met the minimum livestock removal period required by this action input records showing that the grassland has received at least 100kg of nitrogen per hectare per year</t>
  </si>
  <si>
    <t>You must do this action each year of its 3-year duration. If this action€™s start date means it€™s too late for you to do this action, you must start doing it within 12 months of the action€™s start date. In the final year of this action€™s duration, you must do the action until the end of your chosen minimum 5-month livestock removal period or this action€™s end date, whichever is earlier.</t>
  </si>
  <si>
    <t>You must keep written evidence that land entered into this action is prone to waterlogging, compaction or poaching. You can use the soil management plan produced for CSAM1 or SAM1 to identify this. You must also keep the required written record of grazing activity and nitrogen application. You must supply this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</si>
  <si>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OFC1, OFM1, AGF1, AGF2, PRF1, PRF2, CIPM1, CNUM1, CSAM1 SFI 2023 actions IPM1, NUM1, SAM1 CS options SW15, SW16, OR1, OT1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</si>
  <si>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WBD6 - Remove livestock from intensive grassland during the autumn and winter (outside SDAs)</t>
  </si>
  <si>
    <t>CIGL1</t>
  </si>
  <si>
    <t>Take grassland field corners or blocks out of management</t>
  </si>
  <si>
    <t>This action€™s aim is that there are grassland field corners or blocks taken out of management, so tussocky grass can develop. The purpose of this is to: provide year-round habitat for a range of wildlife support an IPM approach if located close to cropped areas</t>
  </si>
  <si>
    <t>there are grassland field corners or blocks taken out of management, so tussocky grass can develop. T</t>
  </si>
  <si>
    <t xml:space="preserve"> provide year-round habitat for a range of wildlife support an IPM approach if located close to cropped areas</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</si>
  <si>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This is a €˜limited area€™ action. The total eligible area you enter into any combination of one of more of the €˜limited area€™ actions must not be more than 25% of the total agricultural area of your farm. Read section 1.3 €˜ SFI actions with a limited area€™ in the SFI scheme information for more details (including a list of the €˜limited area€™ actions). Eligible land Eligible land type Eligible land cover Compatible land use code Temporary grassland Arable land TG01 Improved permanent grassland Permanent grassland PG01 Eligibility of protected land Land or features with protection Eligibility Sites of special scientific interest ( SSSIs ) Eligible you must get SSSI consent before you do this action (read section 10.3€¯€˜ SSSI consent€™ in the SFI scheme information to find out how to do this) Historic and archaeological features Ineligible you must not enter any area with an historic or archaeological feature into this action. This only affects the area where the feature is located in a land parcel. You can apply for this action on the remaining area in the land parcel if it€™s eligible. Available area you can enter into this action Part of the available area in a land parcel. Rotational or static action This action is static. This means you must do it at the same location each year of this action€™s duration.</t>
  </si>
  <si>
    <t>You must leave grassland field corners or blocks entered into this action unmanaged, so they€™re uncut and un-grazed. You must not do the following on the unmanaged grassland field corners or blocks: graze them with livestock you can apply for Capital Grants for fencing to help you do this cut them, except for localised cutting to control injurious weeds or invasive non-natives, soft or hard rush, or nettles carry out activities that may disturb breeding birds or damage nests as birds, nests and eggs are protected by law apply any fertilisers, manures or lime apply pesticides, except for herbicides to weed wipe or spot treat to control injurious weeds , invasive non-native species , or nettles You can maintain existing grassy field corners or blocks to get paid for this action, if they meet this action€™s requirements.</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</si>
  <si>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OFC1, OFC3, OFM1, OFM4, AGF1, AGF2, PRF2, CIPM1, CNUM1, CSAM1 SFI 2023 actions IPM1, NUM1, SAM1 CS options OR1, OR3, OT1, OT3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</si>
  <si>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Where to locate the unmanaged field corners or blocks You can choose to locate the unmanaged field corner or block on areas: which are less productive or difficult to reach with machinery to square up cultivated areas which could help to speed up farm operations close to existing nectar and pollen sources to benefit insects, or existing winter bird food sources to benefit farmland birds close to cropped areas to help with an integrated pest management ( IPM ) approach for example, once tussocky grass develops, it can provide habitat for ladybirds which eat aphids close to existing habitat (such as woodland, hedgerows, waterbodies, heathland, fallow land, wildflower-rich grassland) to help farmland wildlife to move across your land To create a network of habitats, you can have a number of smaller areas (for example between 0.5 hectares (ha) and 1ha) spaced as evenly as possible across your land. For example, you could space 5 blocks of 0.5ha evenly across 100ha to allow pollinators, flying insects and birds to move between the areas. Managing field corners or blocks This action requires you to not cut or graze the grassland field corners or blocks with livestock. You can use temporary fencing to prevent livestock accessing the grassland. You can apply for a capital grant for fencing to help you do this. You may need to control weeds when they appear. To control injurious weeds or invasive non-natives, soft and hard rush, or nettles, this action allows you to: carry out localised cutting use herbicides to spot-treat or weed wipe You can also control weeds by removing entire plants by hand before they have finished flowering.</t>
  </si>
  <si>
    <t>CIGL1 - Take improved grassland field corners or blocks out of management</t>
  </si>
  <si>
    <t>AHW6</t>
  </si>
  <si>
    <t>Basic overwinter stubble</t>
  </si>
  <si>
    <t>This action€™s aim is that there€™s a post-harvest stubble remaining over the autumn and winter months. The purpose of this is to provide: a winter food source for seed-eating farmland birds foraging habitats for farmland wildlife</t>
  </si>
  <si>
    <t>there€™s a post-harvest stubble remaining over the autumn and winter months. T</t>
  </si>
  <si>
    <t>provide: a winter food source for seed-eating farmland birds foraging habitats for farmland wildlife</t>
  </si>
  <si>
    <t>You can do this action on agricultural land located below the moorland line that€™s: identified by you as not being at risk of soil erosion or surface runoff you must keep evidence of this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Arable land used to grow cereals (not maize or sorghum), oilseed rape or linseed Arable land Land use codes for arable crops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Total or part of the available area in a land parcel. Rotational or static action This action is rotational or static. This means it can either: move location within your crop rotation for the second and third years of this action€™s duration remain at the same location each year of this action€™s duration</t>
  </si>
  <si>
    <t>You must not apply pre-harvest desiccants to the cereal crop, oilseed rape or linseed. After harvest, you must leave the stubble from a cereal crop, oilseed rape or linseed until around mid-February. You must not do the following on the stubble area: top or graze it apply post-harvest herbicides apply any fertilisers, manures or lime</t>
  </si>
  <si>
    <t>You must do this action each year of its 3-year duration. If this action€™s start date means it€™s too late for you to do this action, you must start doing it within 12 months of the action€™s start date. In the final year of this action€™s duration, you must do the action until around mid-February or this action€™s end date, whichever is earlier.</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</si>
  <si>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AHW5, AHW10, AHW11, OFC3, OFM4, AGF1, AGF2, PRF1, PRF2, PRF4, SOH1, SOH2, SOH3, CIPM1, CIPM4, CNUM1, CSAM1 SFI 2023 actions IPM1, IPM4, NUM1, SAM1 CS options AB5, AB7, AB9, AB10, AB11, AB13, AB14, AB15, HS3, OR3, OT3, SW5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</si>
  <si>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the right location Overwinter stubbles are suitable for most soil types. Spring-sown crops (especially barley) can produce the best overwinter stubbles. You can leave unmanaged overwinter stubbles across a whole field or a strip, if the land has been identified by you as not being at risk of soil erosion or surface runoff. You can do CSAM1 (assess soil, produce a soil management plan and test soil organic matter) to help you identify this. You can have several areas of stubbles spread across your farm to link non-crop habitats (such as hedgerows, ponds and field margins). This can help wildlife to move between these habitats, especially in large fields (for example, over 20 hectares (ha)). As this action requires you not to use post-harvest herbicides, try to locate the overwinter stubbles in fields which do not have a history of hard to control weeds. For example: black-grass couch docks sterile brome thistles wild oats It€™s usually best to locate strips of overwinter stubbles along south-facing boundaries. This will allow more beneficial weeds to grow, so more seeds are produced for birds to eat. How to increase environmental benefits from the stubbles To help to increase the environmental benefits provided by the overwinter stubbles, you can establish them: near to high-value habitats, such as hedgerows, scrub and woodland close to other seed-rich habitat in fields used by nesting lapwing or skylark close to areas of scrub which are suitable for nesting turtle dove on warm, sunny, south-facing headlands which support rare arable plants You can provide the greatest range of habitat for wildlife by having different stubble heights across your farm. You can do this by lowering and raising the combine header. Skylark and yellowhammer prefer shorter stubble, while other species like grey partridge shelter in taller vegetation. After you harvest your crop, you can broadcast beneficial seed and nectar-producing plants (such as mustard and fodder radish) into the stubble. Other ways to enhance stubbles for farm wildlife include: carrying out winter supplementary feeding for farmland birds next to areas of winter bird food managing your preceding crop with less inorganic nitrogen fertiliser and fewer herbicides</t>
  </si>
  <si>
    <t>AHW6 - Basic overwinter stubble</t>
  </si>
  <si>
    <t>WBD8</t>
  </si>
  <si>
    <t>Manage grassland to reduce nutrient levels in groundwater</t>
  </si>
  <si>
    <t>This action€™s aim is that there€™s an intact grass sward throughout the year, with: a medium sward height during the winter months minimal bare ground reduced level of nutrient inputs applied The purpose of this is to: reduce nutrient inputs to grassland in priority Water Framework Directive ( WFD ) groundwater failure areas help slow or reverse nutrient levels in groundwater</t>
  </si>
  <si>
    <t>there€™s an intact grass sward throughout the year, with: a medium sward height during the winter months minimal bare ground reduced level of nutrient inputs applied T</t>
  </si>
  <si>
    <t xml:space="preserve"> reduce nutrient inputs to grassland in priority Water Framework Directive ( WFD ) groundwater failure areas help slow or reverse nutrient levels in groundwater</t>
  </si>
  <si>
    <t>You can do this action on agricultural land located below the moorland line that€™s: managed intensively this usually means it€™s been receiving more than 200 kilograms (kg) of nitrogen per ha per year before it€™s entered into this action identified as a priority WFD groundwater failure area within the Countryside Stewardship ( CS ) targeting you can find this on the MAGIC website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Temporary grassland Arable land TG01 Improved permanent grassland Permanent grassland PG01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Total available area in a land parcel. Rotational or static action This action is static. This means you must do it at the same location each year of this action€™s duration.</t>
  </si>
  <si>
    <t>You must: make sure there€™s an intact sward throughout the year cut or graze the sward in a way that can reasonably be expected to achieve this action€™s aim a medium sward height will usually be an average of around 5 centimetres (cm) to 15cm minimise bare ground, so the soil is covered by vegetation and is not directly exposed to the elements You must not do the following on the grassland: plough, cultivate or re-seed it carry out supplementary feeding of livestock, except for providing non-energy based mineral blocks apply pesticides, except for herbicides to weed wipe or spot treat to control injurious weeds , invasive non-native species , or nettles apply manures or fertilisers, apart from when you cut the grassland for hay or silage When you cut the grassland for hay or silage, you must not apply more than either: 12 tonnes of cattle farmyard manure per ha per year equivalent amounts of available nutrients as fertiliser or other organic manures as an alternative to cattle farmyard manure</t>
  </si>
  <si>
    <t>You must keep evidence to show what you€™ve done to complete this action, such as: field operations at a land parcel level and associated invoices grazing activity at a land parcel level photographs and other documentation If it€™s not clear that you€™ve done this action in a way that could reasonably be expected to achieve its aim, we may ask for this evidence. You must supply the evidence if we ask for it.</t>
  </si>
  <si>
    <t>WBD8 - Manage grassland to reduce nutrient levels in groundwater</t>
  </si>
  <si>
    <t>BND2</t>
  </si>
  <si>
    <t>Maintain earth banks or stone-faced hedgebanks</t>
  </si>
  <si>
    <t>for one side</t>
  </si>
  <si>
    <t>This action€™s aim is that there are earth banks or stone-faced hedgebanks maintained in good condition. The purpose of this is to: help manage livestock provide habitats for lichens, mosses and ferns, and wildlife maintain landscape and historic features</t>
  </si>
  <si>
    <t>there are earth banks or stone-faced hedgebanks maintained in good condition. T</t>
  </si>
  <si>
    <t xml:space="preserve"> help manage livestock provide habitats for lichens, mosses and ferns, and wildlife maintain landscape and historic features</t>
  </si>
  <si>
    <t>To be eligible for this action, the bank must be: either a raised earth or turf-faced bank (an earth bank), or a raised earth bank faced with natural stone (a stone-faced hedgebank) there can be woody growth on top of the bank (for example, Cornish or Devon hedges) distinct from the surrounding landform a land parcel boundary at least 20m long, measured between 2 end points  read €˜advice to help you do this action€™ to find out how to measure this in good condition To be in good condition, the earth bank or stone-faced hedgebank must be both: continuous, with no gaps along its entire length complete, so the bank is at a height in keeping with local style and a stone-faced hedgebank has facing stones in place You can do this action on the entire length of either one side or both sides of an eligible earth bank or stone-faced hedgebank. You must have management control of one or both sides, depending on what you enter into this action. You can enter both sides of a roadside bank, or a bank that borders a neighbour€™s land, if you meet both of the following: you have a legal right or obligation to maintain the bank you can meet this action€™s requirements Eligibility of protected land Protected land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Not applicable, as this is a linear action. Rotational or static action This action is static. This means you must do it at the same location each year of this action€™s duration.</t>
  </si>
  <si>
    <t>You must maintain earth banks or stone-faced hedgebanks entered into this action in good condition. To do this, you must: visually check their condition and identify any sections that need to be repaired carry out any necessary repairs keep a record (written or photographic) of any need for repairs you identify, and the repair work you do including the date you identify the need and when the work was done retain any existing features such as top stones, sheep creeps, stiles and stone gate posts When you carry out any necessary repairs, you must retain any existing features such as top stones, sheep crops, stiles and stone gate posts.</t>
  </si>
  <si>
    <t>You must: check the condition of the banks at least once during each year of this action€™s 3-year duration carry out any necessary repairs within 12 months of identifying the need, or by this action€™s end date if you identify need for repairs during the final year of this action€™s duration</t>
  </si>
  <si>
    <t>You can do the following actions or options in land parcels with eligible boundaries entered into this action. Scheme Action or option codes SFI 2024 actions All SFI 2024 actions, except BND1 SFI 2023 actions All SFI 2023 actions CS options All CS management options ES options All ES revenue options, except boundary options SFI pilot standards All SFI pilot standards, except the SFI pilot hedgerows standard</t>
  </si>
  <si>
    <t xml:space="preserve"> How to measure your earth bank or stone-faced hedgebank For the purposes of measuring the length of your earth bank or stone-faced hedgebank between 2 end points, an end point can include: a point of connection with another bank, wall, hedgerow or other features (such as a fence, ditch, road or building) where the feature changes management control or ownership How to visually check the condition of your earth banks or stone-faced hedgebanks This action requires you to visually check the condition of your earth banks or stone-faced hedgebanks and identify any sections that need to be repaired. When you visually check the condition of your banks , factors which could mean your walls need to be repaired include: fallen stones slumping overgrown vegetation damage by livestock damage by machinery How to carry out necessary repairs Before you carry out any necessary repairs on your earth bank or stone-faced hedgebank, check for signs of nesting birds. Birds, nests and eggs are protected by law , so if you see signs of nesting birds, delay work until the birds fledge. When you carry out any necessary repairs on your bank, try to avoid carrying out work: during periods of drought or extremely wet weather, as this may result in an unstable structure in windy conditions in dry areas where soil is prone to wind blow when there€™s a risk of frost damage You can also try to: transport materials when conditions are dry this will help to avoid damaging the ground remove leftover materials from the site after you have carried out the work restore the ground where you have carried out the work If the bank has a live hedge on top, you can shovel up soil and turf which has slumped to the base of the bank and spread it among the hedge plants. This can help to keep the hedge plants healthy and strong. There are other SFI actions that you can do on the hedgerows on top of your bank. You can find these SFI actions under €˜Other actions or options you can do on the same area as this action€™. They include: CHRW1: Assess and record hedgerow condition CHRW2: Manage hedgerows CHRW3: Maintain or establish hedgerow trees</t>
  </si>
  <si>
    <t>BND2 - Maintain earth banks or stone-faced hedgebanks</t>
  </si>
  <si>
    <t>WBD7</t>
  </si>
  <si>
    <t>Remove livestock from grassland during the autumn and winter (SDAs)</t>
  </si>
  <si>
    <t xml:space="preserve"> improve soil structure reduce surface runoff and risk of diffuse pollution to the watercourse help to reduce the risk of flooding</t>
  </si>
  <si>
    <t>You can do this action on agricultural land which drains directly into a watercourse (stream, river or lake) that€™s: located within a severely disadvantaged area ( SDA ) below the moorland line identified by you as being prone to waterlogging, compaction and poaching you must keep written evidence of this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Permanent grassland Permanent grassland PG01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Total available area in a land parcel. Rotational or static action This action is static. This means you must do it at the same location each year of this action€™s duration.</t>
  </si>
  <si>
    <t>You must remove all livestock from the land for the duration of the autumn and winter months. This will usually be from early October until mid-March. For the purposes of this action, livestock includes cattle, sheep, goats, ponies and horses, as relevant. You must keep a written record of grazing activity on each land parcel entered into this action to show you€™ve met the livestock removal period required by this action.</t>
  </si>
  <si>
    <t>You must keep written evidence that land entered into this action is prone to waterlogging, compaction or poaching. You can use the soil management plan produced for CSAM1 or SAM1 for this if it identifies this. You must also keep the required written record of grazing activity. You must supply this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</si>
  <si>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OFC1, OFC2, OFM1, OFM2, AGF1, AGF2, PRF1, PRF2, CIGL3, CIPM1, CNUM1, CSAM1 SFI 2023 actions IPM1, NUM1, IGL3, SAM1 CS options SW16, OR1, OR2, OT1, OT2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</si>
  <si>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WBD7 - Remove livestock from grassland during the autumn and winter (SDAs)</t>
  </si>
  <si>
    <t>WBD4</t>
  </si>
  <si>
    <t>Arable reversion to grassland with low fertiliser input</t>
  </si>
  <si>
    <t>This action€™s aim is that there€™s a dense and diverse grass sward throughout the year which: is on land at risk of erosion or surface runoff, or that creates a buffer to a sensitive habitat has a range of heights during the autumn and winter months has minimal bare ground, so the soil is covered by vegetation and is not directly exposed to the elements has low fertiliser inputs The purpose this is to: stabilise the soil reduce nutrient losses reduce the risk of flooding</t>
  </si>
  <si>
    <t>there€™s a dense and diverse grass sward throughout the year which: is on land at risk of erosion or surface runoff, or that creates a buffer to a sensitive habitat has a range of heights during the autumn and winter months has minimal bare ground, so the soil is covered by vegetation and is not directly exposed to the elements has low fertiliser inputs The purpose this is to: stabilise the soil reduce nutrient losses reduce the risk of flooding</t>
  </si>
  <si>
    <t>You can do this action on agricultural land that€™s: identified by you as being at risk of soil erosion or surface runoff, or important for buffering €˜sensitive habitats€™ you must keep evidence of this an eligible land type (as defined in section 5.1 €˜Eligible land types for SFI €™ in the SFI scheme information) registered with an eligible land cover on your digital maps declared with a land use code which is compatible with the eligible land cover For the purposes of this action, €˜sensitive habitats€™ include: watercourses and waterbodies (streams, rivers, ponds or lakes) sites of special scientific interest ( SSSIs ) at risk of diffuse water pollution you can find these on the MAGIC website priority habitats you can find these on Natural England€™s priority habitat inventory map or the MAGIC website Eligible land Eligible land type Eligible land cover Compatible land use code Arable land used to grow crops Arable land Land use codes for arable crops or leguminous and nitrogen-fixing crops Temporary grassland Arable land TG01 Arable land lying fallow Arable land FA01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Total or part of the available area in a land parcel. Rotational or static action This action is static. This means you must do it at the same location each year of this action€™s duration.</t>
  </si>
  <si>
    <t>You must: establish a diverse grass sward on land entered into this action use a seed mix which includes at least 5 grass species Once the grass sward is established, you must maintain it. To do this, you must manage it in a way that can reasonably be expected to achieve this action€™s aim. This includes: making sure there€™s an intact sward throughout the year, with minimal bare ground grazing or cutting the sward during the spring and summer months, with cuttings removed in late summer after the bird breeding season You must not do the following on the grass sward: graze it with livestock during the autumn and winter months (usually from early October until mid-March) apply pesticides, except for herbicides to weed wipe or spot treat to control injurious weeds , invasive non-native species , or nettles apply any fertilisers or manures from late summer until mid-winter (usually from mid-August until the end of January) this is to reduce the risk of runoff apply any livestock manures with 100 kilograms (kg) or more of total nitrogen per ha per year where you do not use livestock manures, apply nitrogen fertiliser to supply 50kg or more per ha of total nitrogen per year supplementary feed, except for non-energy based mineral blocks You can maintain an existing grass sward to get paid for this action if it: meets this action€™s requirements is not already being paid for under another environmental land management scheme option, such as Countryside Stewardship ( CS ) option SW7 (arable reversion to grassland with low fertiliser input)</t>
  </si>
  <si>
    <t>If you€™re establishing a new grass sward to meet this action, you must: sow the mix by early autumn, within 12 months of this action€™s start date maintain it at the same location until this action€™s end date If you€™re maintaining an existing grass sward to meet this action, you must do this until this action€™s end date.</t>
  </si>
  <si>
    <t>You must keep written evidence that land entered into this action is either: at risk of soil erosion or surface runoff - you can use the soil management plan produced for CSAM1 or SAM1 to identify this important for buffering sensitive habitats You must also keep evidence to show what you€™ve done to complete this action, such as: field operations at a land parcel level and associated invoices, including details of the seed mix used stocking records to show grazing activity at a land parcel level input records of nitrogen application photographs and other documentation If it€™s not clear that you€™ve done this action in a way that could reasonably be expected to achieve its aim, we may ask for this evidence. You must supply this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</si>
  <si>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OFC1, OFM1, AGF1, AGF2, PRF1, PRF2, CIPM1, CNUM1, CSAM1 SFI 2023 actions IPM1, NUM1, SAM1 CS options OR1, OT1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supplemental action WBD9: Nil fertiliser supplement on land entered into this action.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</si>
  <si>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What to sow This action explains the minimum number of grass species required (under €˜What to do€™). You can tailor your choice of grass species to your soil type, how and when you plan to cut your sward. The following species will grow in most conditions and can form part of a basic grass seed mixture: timothy (use with care as this is tussocky, vigorous and can become dominant) cocksfoot (use with care as this is tussocky, vigorous and can become dominant) crested dogstail red fescue smooth stalked meadow grass You can increase the environmental benefits by adding wildflowers such as: ox-eye daisy black knapweed bird€™s foot trefoil common sorrel Managing the sward Controlling weeds and cutting the sward regularly in the first 1 to 2 years of the sward being established will encourage grasses to grow. Cutting the grass sward Before you cut the sward, check it for signs of nesting birds. Birds, nests and eggs are protected by law, so if you see signs of nesting birds, delay cutting until the birds have fledged.</t>
  </si>
  <si>
    <t>WBD4 - Arable reversion to grassland with low fertiliser input</t>
  </si>
  <si>
    <t>WBD3</t>
  </si>
  <si>
    <t>In-field grass strips</t>
  </si>
  <si>
    <t>This action€™s aim is that there€™s an in-field grass strip: on land at risk of soil erosion or surface runoff with an intact grass sward throughout the year The purpose of this is to: reduce the quantity of sediment, nutrients and pesticides transported through surface runoff water improve water quality provide habitats for wildlife support an integrated pest management approach if located close to cropped areas</t>
  </si>
  <si>
    <t>there€™s an in-field grass strip: on land at risk of soil erosion or surface runoff with an intact grass sward throughout the year T</t>
  </si>
  <si>
    <t xml:space="preserve"> reduce the quantity of sediment, nutrients and pesticides transported through surface runoff water improve water quality provide habitats for wildlife support an integrated pest management approach if located close to cropped areas</t>
  </si>
  <si>
    <t>You can do this action on agricultural land located below the moorland line that€™s: identified by you as being at risk of soil erosion or surface runoff you must keep evidence of this an eligible land type (as defined in section 5.1 €˜Eligible land types for SFI €™ in the SFI scheme information) registered with an eligible land cover on your digital maps declared with a land use code which is compatible with the eligible land cover This is a €˜limited area€™ action. The total eligible area you enter into any combination of one or more of the €˜limited area€™ actions must not be more than 25% of the total agricultural area of your farm. Read section 1.3 €˜ SFI actions with a limited area€™ in the SFI scheme information for more details (including a list of the €˜limited area€™ actions). Eligible land Eligible land type Eligible land cover Compatible land use code Arable land used to grow crops Arable land Land use codes for arable crops or leguminous and nitrogen-fixing crops Temporary grassland Arable land TG01 Arable land lying fallow Arable land FA01 Eligibility of protected land Protected land Eligibility Sites of special scientific interest ( SSSIs ) in a land parcel Eligible you must get SSSI consent before you do this action (read section 10.3 €˜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Part of the available area in a land parcel. Rotational or static action This action is static. This means you must do it at the same location each year of this action€™s duration.</t>
  </si>
  <si>
    <t>You must establish and maintain an in-field grass strip which has: an intact grass sward no evidence of damage from vehicle or stock access routes During late summer after the bird breeding season, you must cut the entire strip to encourage a dense sward with a variety of grasses to grow. You must not: apply fertilisers or manures apply pesticides except for herbicides to weed wipe or spot treat to control injurious weeds , invasive non-native species , or nettles allow livestock to access the strip You can maintain an existing in-field grass strip to get paid for this action if it: meets this action€™s requirements is not already being paid for under another environmental land management scheme option, such as Countryside Stewardship ( CS ) option SW3 (in-field grass strips)</t>
  </si>
  <si>
    <t>You must: establish the in-field grass strip within 12 months of this action€™s start date maintain the in-field grass strip throughout each subsequent year of this action€™s duration</t>
  </si>
  <si>
    <t>You must keep written evidence that land entered into this action is at risk of soil erosion or surface runoff. You can use the soil management plan produced for CSAM1 or SAM1 to identify this. You must also keep evidence to show what you€™ve done to complete this action, such as: field operations at a land parcel level and associated invoices photographs and other documentation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</si>
  <si>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OFC3, OFC4, OFM4, OFM5, AGF1, AGF2, PRF2, CIPM1, CNUM1, CSAM1 SFI 2023 actions IPM1, NUM1, SAM1 CS options OR3, OR4, OT3, OT4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</si>
  <si>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How and where to establish the in-field grass buffer strip You can establish the in-field grass buffer strip by either: sowing a seed mix using natural regeneration If you€™re sowing a seed mix, to help the grass buffer strip to establish you can: remove any subsoil compaction to prepare a seedbed (except on land with historic or archaeological features cut regularly in the first 12 to 24 months to encourage the grasses to tiller try to avoid cutting when the soil is wet as that may cause compaction To help you achieve this action€™s aim, you can establish the in-field grass strip on: natural drainage pathways (for example, the bottom of a valley) to prevent runoff water from creating rills and gullies long, sloping fields with the strip placed parallel to the slope and alternated with wide, cultivated strips to slow runoff water and trap sediment and organic material Try to avoid establishing the in-field grass trip on a public right of way. This is because the ground is likely to be compacted which means the strip may not establish as well. Maintaining the established grass strip Once the grass strip is established, this action requires you to cut the entire strip during late summer. Before you cut the sward, check it for signs of nesting birds. Birds, nests and eggs are protected by law, so if you see signs of nesting birds, delay cutting until the birds have fledged. If possible, remove the cut vegetation. If it€™s impractical to do this, you can leave finely chopped cuttings, spread as thinly as possible. If you want to do this type of action on more than around one-third of the area of a field you can consider doing WBD4 (arable reversion to grassland with low fertiliser input) instead to cover a larger area.</t>
  </si>
  <si>
    <t>WBD3 - In-field grass strips</t>
  </si>
  <si>
    <t>AHW8</t>
  </si>
  <si>
    <t>Whole crop spring cereals and overwinter stubble</t>
  </si>
  <si>
    <t>This action€™s aim is that: a spring cereal crop is harvested as whole crop silage (grain and straw together) the stubble is left over the autumn and winter months The purpose of this is to provide: late summer, autumn and winter foraging sites for declining and localised farmland birds, small mammals and pollinator species overwinter habitat for insects and seed-eating farmland birds</t>
  </si>
  <si>
    <t>: a spring cereal crop is harvested as whole crop silage (grain and straw together) the stubble is left over the autumn and winter months T</t>
  </si>
  <si>
    <t>provide: late summer, autumn and winter foraging sites for declining and localised farmland birds, small mammals and pollinator species overwinter habitat for insects and seed-eating farmland birds</t>
  </si>
  <si>
    <t>You can do this action on agricultural land located below the moorland line that€™s: identified by you as not being a risk of soil erosion or runoff you must keep evidence of this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Arable land used to grow crops Arable land Land use codes for arable crops or leguminous and nitrogen-fixing crops Temporary grassland Arable land TG01 Arable land lying fallow Arable land FA01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Total or part of the available area in a land parcel. Rotational or static action This action is rotational or static. This means you can either: move its location for the second and third years of this action€™s duration do it at the same location each year of this action€™s duration</t>
  </si>
  <si>
    <t>You must: establish a spring cereal crop (not maize or sorghum) harvest the cereal crop as whole crop silage remove the grain and straw from the land after harvest, leave the stubble over the autumn and winter months As long as this action€™s aim can reasonably be expected to be achieved, you can: undersow a seed mix into the spring cereal crop use a blend or mix of cereals You must not apply insecticides to the spring cereal crop after around mid-March, until it€™s harvested. You must not do the following on the stubble area: top or graze it apply any fertilisers, manures or lime You must not apply herbicides to the area entered into this action, apart from those containing the following permitted active ingredients: amidosulfuron clodinafop-propargyl fenoxaprop-P-ethyl pinoxaden tri-allate It may not be possible for you to use these permitted active ingredients on all eligible crops. It€™s your responsibility to confirm whether herbicides are approved for use on the affected crop. You can use an existing spring cereal crop to get paid for this action if it: meets this action€™s requirements is not already being paid for under another environmental land management scheme action or option, such as Countryside Stewardship ( CS ) option AB7 (whole crop cereals)</t>
  </si>
  <si>
    <t>You must do this action each year of its 3-year duration. If this action€™s start date means it€™s too late to establish the cereal crop, you must sow it within 12 months of this action€™s start date. In the final year of this action€™s duration, you must do this action until the end of the winter months or this action€™s end date, whichever is earlier.</t>
  </si>
  <si>
    <t>You must keep written evidence that land entered into this action is not at risk of soil erosion or surface runoff. You can use the soil management plan produced for CSAM1 or SAM1 to identify this. You must also keep evidence to show what you€™ve done to complete this action, such as: field operations at a land parcel level and associated invoices photographs or other documentation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</si>
  <si>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OFC3, OFM4, AGF1, AGF2, PRF1, PRF2, PRF3, PRF4, SOH1, CIPM1, CNUM1, CSAM1 SFI 2023 actions IPM1, NUM1, SAM1 CS options HS3, HS9, SW5, OR3, OT3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</si>
  <si>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a spring cereal crop It€™s up to you which spring cereal crop (not maize or sorghum) to use for this action. If you€™re undersowing a seed mix into the spring cereal crop, you can sow it either: at the same time as the spring cereal crop, using a mix of cereal and companion crops (including pulse crops, such as field beans, lupins and combining peas) as a separate pass into the spring cereal crop Undersowing the spring cereal crop with a flowering companion crop mix can provide flower and insect-rich foraging habitat for farmland birds and pollinator species. If you€™re using a blend or mix of cereals, it can include crops such as: barley oats red millet rye triticale wheat white millet Choosing the right location You can do this action on most soil types, but it will usually work best on lighter, chalky and sandy free-draining soils that support spring cropping. You can leave unmanaged overwinter stubbles across a whole field or a strip, if the land has been identified by you as not being at risk of soil erosion or surface runoff. You can do CSAM1 (assess soil, produce a soil management plan and test soil organic matter) to help you identify this. You can have several areas of stubbles spread across your farm to link non-crop habitats (such as hedgerows, ponds and field margins). This can help wildlife to move between these habitats, especially in large fields (for example, over 20 hectares (ha)). How to increase environmental benefits from the stubbles You can manage your stubbles to deliver enhanced outcomes for soil health, water quality and wildlife. Sowing a herbal ley or mix of flowering plants and grasses before (by undersowing) or after harvest can deliver: late season pollen and nectar for wild pollinators food and shelter for farmland birds over winter soil health and water quality benefits by reducing the risk of erosion and run-off Try not to sow herbal leys, cover crops and other seed mixes in areas of fields known to support rare arable plants. Other ways to enhance stubbles for farm wildlife include: carrying out winter supplementary feeding for farmland birds next to areas of winter bird food managing your preceding crop with less inorganic nitrogen fertiliser and fewer herbicides varying the height of the stubble by raising and lowering the combine header at harvest</t>
  </si>
  <si>
    <t>AHW8 - Harvest whole crop spring cereals and maintain overwinter stubble</t>
  </si>
  <si>
    <t>AHW12</t>
  </si>
  <si>
    <t>Manage woodland edges on arable land</t>
  </si>
  <si>
    <t xml:space="preserve"> calculate the hectarage by: measuring the length of the strip in metres (m) multiplying that length by the relevant width (up to 6m) to give the area in m 2 dividing that area by 10,000 to convert it into ha</t>
  </si>
  <si>
    <t>This action€™s aim is that there€™s an uncultivated, naturally regenerated strip of scrub and grass mosaic developing between arable land and woodland. The purpose of this is to provide woodland edge habitat for birds, invertebrates, small mammals and other wildlife.</t>
  </si>
  <si>
    <t>there€™s an uncultivated, naturally regenerated strip of scrub and grass mosaic developing between arable land and woodland. T</t>
  </si>
  <si>
    <t>provide woodland edge habitat for birds, invertebrates, small mammals and other wildlife.</t>
  </si>
  <si>
    <t>You can do this action on agricultural land located below the moorland line that€™s: immediately adjacent to predominantly native or ancient semi-natural woodland an eligible land type (as defined in section 5.1 €˜Eligible land types for SFI €™ in the SFI scheme information) at the start of this action€™s duration if the land type changes because of this action, it will not affect eligibility (for example, allowing scrub to develop) registered with an eligible land cover on your digital maps declared with a land use code which is compatible with the eligible land cover Eligible land Eligible land type Eligible land cover Compatible land use code Arable land used to grow crops Arable land Land use codes for arable crops or leguminous and nitrogen-fixing crops Temporary grassland Arable land TG01 Arable land lying fallow Arable land FA01 Eligibility of protected land Protected land Eligibility Sites of special scientific interest ( SSSIs ) Eligible you must get SSSI consent before you do this action (read section 10.3€¯€˜ SSSI consent€™ in the SFI scheme information to find out how to do this) Historic and archaeological features Ineligible you must not enter any area that contains an historic or archaeological feature into this action. This only affects the area where the feature is located in a land parcel. You can apply for this action on the remaining area in the land parcel if it€™s eligible. Available area you can enter into this action Part of the available area in a land parcel. Rotational or static action This action is static. This means you must do it at the same location each year of this action€™s duration.</t>
  </si>
  <si>
    <t>You must allow a naturally regenerated scrub and grass mosaic strip to develop that€™s: on arable land, adjacent to the edge of an existing woodland up to 6m wide (on average in each land parcel) it can be more than 6m wide, but you€™ll only be paid for the 6m width You must maintain the strip in a way that can reasonably be expected to achieve this action€™s aim. You must not: apply any fertilisers, manures or lime apply pesticides, except for herbicides to weed wipe or spot treat to control injurious weeds , invasive non-native species , or nettles carry out supplementary feeding in a way that causes poaching on the woodland edge cut or cultivate the strip in a way that means this action€™s aim cannot reasonably be achieved You can maintain an existing woodland strip to get paid for this action if it: meets this action€™s requirements is not already being paid for under another environmental land management scheme option, such as Countryside Stewardship option WD3 (woodland edges on arable land)</t>
  </si>
  <si>
    <t>You must: allow the woodland edge strip to develop within 12 months of this action€™s start date maintain the woodland edge strip throughout each subsequent year of this action€™s duration</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</si>
  <si>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OFC3, OFC4, OFM4, OFM5, AGF1, AGF2, CIPM1, CNUM1, CSAM1 SFI 2023 actions IPM1, NUM1, SAM1 CS options OR3, OR4, OT3, OT4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</si>
  <si>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Maintaining the woodland edge strip To enhance the woodland edge habitat for wildlife, you can cut the strip occasionally on a rotation. This will help to encourage the development of the scrub and grass mosaic, with a mixture of vegetation heights. The best time of year to cut the strip is usually between early September and late February in the following year.</t>
  </si>
  <si>
    <t>AHW12 - Manage woodland edges on arable land</t>
  </si>
  <si>
    <t>SOH2</t>
  </si>
  <si>
    <t>Multi-species spring-sown cover crop</t>
  </si>
  <si>
    <t>This action€™s aim is that there€™s a well-established spring-sown multi-species cover crop which is present either: between harvesting a cash crop, until the next cash crop is established after a winter cover crop is destroyed or oversown, until the next cash crop is established The purpose of this is to: protect the soil surface provide root growth that benefits soil structure support soil biology and minimise nutrient leaching, soil erosion and runoff add organic matter</t>
  </si>
  <si>
    <t>there€™s a well-established spring-sown multi-species cover crop which is present either: between harvesting a cash crop, until the next cash crop is established after a winter cover crop is destroyed or oversown, until the next cash crop is established T</t>
  </si>
  <si>
    <t xml:space="preserve"> protect the soil surface provide root growth that benefits soil structure support soil biology and minimise nutrient leaching, soil erosion and runoff add organic matter</t>
  </si>
  <si>
    <t>You must establish a multi-species cover crop mix during the spring months (usually between March and May) which will not be harvested as a €˜cash crop€™. A €˜cash crop€™ means a crop grown to be harvested for commercial use. You must use a rapid growing seed mix that contains at least 4 species. This must include 2 species from two or more of the following plant families: brassicas legumes cereals and grasses, with grasses making up no more than 25% of the total mix by weight herbs The seed mix must not contain: Japanese reed millet maize miscanthus or reed canary grass sorghum (all varieties) artichokes sweet fennel You must avoid growing deep rooted species on any area within a land parcel with historic or archaeological features identified in your SFI HEFER . Read section 5.6€¯€˜Land with historic or archaeological features€™ in the SFI scheme information for more details. You must maintain the multi-species cover crop in a way, and for a period of time, that can reasonably be expected to achieve this action€™s aim. For the purposes of this action€™s aim, the cover crop will be well-established if there€™s: leafy vegetation that€™s sufficiently well grown to protect the soil surface minimal bare soil You must not do the following on the well-established cover crop: cut it or graze it with livestock (other than when destroying the cover crop) mechanically apply any fertilisers or manures destroy it more than 2 weeks before you intend to sow the next main crop When you destroy the cover crop, you should try to minimise risks such as compaction, poaching, soil runoff or erosion. If something happens which means you cannot complete this action, you must tell the Rural Payments Agency about this in writing as soon as possible. For example, if there€™s prolonged adverse weather. Read section 13.2: €˜What you must do if you cannot comply with your agreement€™ in the SFI scheme information to find out how to do this. You must not use the following to meet this action: a multi-species temporary grass ley, such as a mix of grass and clover, that is being used for grazing a multi-species crop which you intend to harvest as a cash crop, such as a mix of wheat and clover You can only use an existing multi-species cover crop to meet this action€™s requirements if you overseed it. This includes a cover crop already paid for under an environmental land management scheme action, such as SAM2 or CSAM2 (multi-species winter cover crop).</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</si>
  <si>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AHW6, OFA1, OFA6, OFC3, OFC4, OFM4, OFM5, AGF1, AGF2, PRF1, PRF2, PRF3, PRF4, SOH1, SOH3, SOH4, CAHL2, CIPM1, CIPM3, CIPM4, CNUM1, CSAM1, CSAM2 SFI 2023 actions AHL2, IPM1, IPM3, IPM4, NUM1, SAM1, SAM2 CS options AB2, AB9, HS3, HS9, SW5, SW6, OP5, OR4, OP1, OR3, OT3, OT4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</si>
  <si>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SOH2 - Multi-species spring-sown cover crop</t>
  </si>
  <si>
    <t>BFS1</t>
  </si>
  <si>
    <t>12m to 24m watercourse buffer strip on cultivated land</t>
  </si>
  <si>
    <t>per hectare calculate the hectarage by: measuring the length of the buffer strip in metres (m) multiplying that length by the relevant width (12m to 24m) to give the area in m 2 dividing that area by 10,000 to convert it into ha</t>
  </si>
  <si>
    <t>This action€™s aim is that there€™s a grass buffer strip on land at risk of soil erosion or surface runoff, which: is alongside a watercourse or pond has an intact sward throughout the year, without tracks, compacted areas or poaching The purpose of this is to: protect watercourses reduce the risk of potential pollutants, such as sediment, pesticides and nutrients, being transported to watercourses in surface water runoff provide habitats for wildlife and form links to other habitats support an integrated pest management approach if located close to cropped areas</t>
  </si>
  <si>
    <t>there€™s a grass buffer strip on land at risk of soil erosion or surface runoff, which: is alongside a watercourse or pond has an intact sward throughout the year, without tracks, compacted areas or poaching T</t>
  </si>
  <si>
    <t xml:space="preserve"> protect watercourses reduce the risk of potential pollutants, such as sediment, pesticides and nutrients, being transported to watercourses in surface water runoff provide habitats for wildlife and form links to other habitats support an integrated pest management approach if located close to cropped areas</t>
  </si>
  <si>
    <t>You can do this action on agricultural land located below the moorland line that€™s: identified by you as being at risk of soil erosion or surface runoff you must keep written evidence of this alongside a watercourse (ditch, pond, river or stream)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Arable land used to grow crops Arable land Land use codes for arable crops or leguminous and nitrogen-fixing crops Temporary grassland Arable land TG01 Arable land lying fallow Arable land FA01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Part of the available area in a land parcel. Rotational or static action This action is static. This means you must do it at the same location each year of this action€™s duration.</t>
  </si>
  <si>
    <t>You must establish and maintain a grass strip that€™s: at least 12m wide and up to 24m wide (on average in each land parcel) it can be more than 24m wide, but you€™ll only be paid for the 24m width alongside a ditch, pond, river or stream, to create a buffer between the edge of the crop or fallow land and the watercourse You must make sure the grass strip is in addition to any regulatory requirements relating to buffer strips. Once the grass strip is established, you must manage it in a way that can reasonably be expected to achieve this action€™s aim. During late summer, after the bird breeding season, you must cut part of the grass strip€™s width next to the edge of the crop or fallow land. You must do this along as much of the strip€™s length as possible. This is to provide some shorter vegetation and a range of habitat types. You must not do the following on the established grass strip: allow livestock to access it use it for regular vehicular access, turning or storage (for example, storing bales or machinery) apply fertilisers or manures apply pesticides, except for herbicides to weed wipe or spot treat to control injurious weeds , invasive non-native species , or nettles You can maintain an existing grass strip to get paid for this action if it: meets this action€™s requirements is not already being paid for under another environmental land management scheme option, such as Countryside Stewardship ( CS ) option SW4 (12m to 24m watercourse buffer strip on cultivated land)</t>
  </si>
  <si>
    <t>You must: establish the grass buffer strip within the first 12 months of this action€™s duration maintain the grass buffer strip throughout each subsequent year of this action€™s duration</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</si>
  <si>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OFC3, OFC4, OFM4, OFM5, AGF1, AGF2, PRF2, CSAM1, CIPM1, CNUM1, SFI 2023 actions IPM1, NUM1, SAM1 CS options OR3, OR4, OT3, OT4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</si>
  <si>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How and where to establish the grass buffer strip You can establish the grass buffer strip by either: sowing a seed mix using natural regeneration If you€™re sowing a seed mix, to help the grass buffer strip to establish you can: remove any subsoil compaction to prepare a seedbed (except on land with historic or archaeological features) cut regularly in the first 12 to 24 months to encourage the grasses to tiller try to avoid cutting when the soil is wet as that may cause compaction This action requires you to locate the grass buffer strip on land that€™s: identified by you as being at risk of soil erosion or surface runoff you may find it helpful to do CSAM1 (assess soil, produce a soil management plan and test soil organic matter) to do this alongside a watercourse (ditch, pond, river or stream) To intercept and slow runoff water, you can establish the grass buffer strip across a long, steep slope. Try to minimise the amount of water that is channelled along the edge of the buffer strip. Maintaining the established grass buffer strip Once the grass buffer strip is established, this action requires you to maintain it by managing it in a way that can reasonably be expected to achieve this action€™s aim. Cutting part of the grass buffer strip€™s width This action requires you to cut part of the grass strip€™s width next to the edge of the crop or fallow land during late summer (after the bird breeding season). It€™s up to you how much of the buffer strip€™s width you cut. Cutting up to half of the width from the edge of the crop or fallow land can help to provide: short grass for birds to forage in (such as grey partridge chicks) mid-length grass for species like brown hares long, rarely cut tussocky grass to give shelter and nesting places for birds and invertebrates Remove the cut vegetation (where possible) to limit weeds and reduce the risk of it smothering the flower species. If this is impractical, you can finely chop the vegetation to spread it as thinly as possible. Controlling weeds You may need to control weeds when they appear. To control weeds like docks, nettles, thistles and common ragwort, you can cut the affected area, providing there€™s still an intact grass sward. This action also allows you to use herbicides to weed wipe or spot treat weeds.</t>
  </si>
  <si>
    <t>BFS1 - 12m to 24m watercourse buffer strip on cultivated land</t>
  </si>
  <si>
    <t>CIGL3</t>
  </si>
  <si>
    <t>4m to 12m grass buffer strip on improved grassland</t>
  </si>
  <si>
    <t>per hectare calculate the hectarage by: measuring the length of the buffer strip in metres (m) multiplying that length by the relevant width (4m to 12m) to give the area in m 2 dividing that area by 10,000 to convert it into ha</t>
  </si>
  <si>
    <t>This action€™s aim is that there€™s a grass buffer strip: with an intact grass sward throughout the year without tracks, compacted areas or poaching The purpose of this is to: protect existing landscape and heritage features provide habitat for wildlife prevent pollutants, such as sediment and nutrients, from being carried in surface water runoff, if located next to a watercourse support an integrated pest management approach, if located close to cropped areas, which can help to reduce costs and improve farm resilience</t>
  </si>
  <si>
    <t>there€™s a grass buffer strip: with an intact grass sward throughout the year without tracks, compacted areas or poaching T</t>
  </si>
  <si>
    <t xml:space="preserve"> protect existing landscape and heritage features provide habitat for wildlife prevent pollutants, such as sediment and nutrients, from being carried in surface water runoff, if located next to a watercourse support an integrated pest management approach, if located close to cropped areas, which can help to reduce costs and improve farm resilience</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</si>
  <si>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Temporary grassland Arable land TG01 Improved permanent grassland Permanent grassland PG01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Part of the available area in a land parcel. Rotational or static action This action is static. This means you must do it at the same location each year of this action€™s duration.</t>
  </si>
  <si>
    <t>You must establish and maintain a grass strip on land entered into this action that€™s: at least 4m to 12m wide (on average in each land parcel) - it can be more than 12m wide, but you€™ll only be paid for the 12m width on the edge of improved grassland The grass strip must buffer an existing landscape feature, or certain heritage features, such as: hedgerows stone walls woodland ditches, rivers and streams upstanding historic or archaeological features, such as earthworks, in-field structures or buildings You can also locate the grass buffer strip next to: trackways that channel run-off water directly into a watercourse fence lines that form links between areas of wildlife habitat You must make sure the grass strip is in addition to any regulatory requirements relating to buffer strips. Once the grass strip is established, you must manage it in a way that can reasonably be expected to achieve this action€™s aim. You can graze the grass buffer strip with livestock, provided there€™s an intact grass sward throughout the year, without tracks, compacted areas or poaching. You must not do the following on the grass buffer strip once it€™s established: cut it for hay or silage, so it can provide a refuge for farmland wildlife use it for regular vehicular access, turning or storage (for example, storing bales or machinery) apply any fertilisers or manures apply pesticides, except for herbicides to weed wipe or spot treat to control injurious weeds, invasive non-native species, or nettles use pesticides, except for herbicides to weed wipe or spot treat for the control of injurious weeds , invasive non-native species , or nettles You can maintain an existing grass buffer strip to get paid for this action if it: meet this action€™s requirements are not already being paid for under another environmental land management scheme option, such as Countryside Stewardship ( CS ) option SW2 (4m to 6m buffer strip on intensive grassland)</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</si>
  <si>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OFC1, OFC3, OFM1, OFM4, WBD7, AGF1, AGF2, PRF2, CIPM1, CNUM1, CSAM1 SFI 2023 actions IPM1, NUM1, SAM1 CS options SW10, OR1, OR3, OT1, OT3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</si>
  <si>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How and where to establish the grass buffer strip You can establish the grass buffer strip by either: sowing a seed mix using natural regeneration This action explains which landscape features the grass strip is required to buffer (under €˜What to do€™). To help you decide where to locate the grass buffer strip, you may find it helpful to do CSAM1 (assess soil, produce a soil management plan and test soil organic matter). Sowing a seed mix Sowing a seed mix can establish the grass buffer more quickly, which can reduce the risk of soil erosion. You can choose a seed mix that contains native grass species, such as:: timothy cocksfoot crested dog€™s tail red fescue smooth-stalked meadow grass It can help the seeds to germinate if they€™re sown into a seedbed that€™s: firm, consolidated, fine, level and weed free moist, which will usually be the case in the autumn you can sow in the spring, but you may need to increase the sowing rate, depending on weather and soil type You can either: broadcast the seeds onto the surface of the seedbed to help germination shallow-drill the seeds up to a depth of 1 centimetre (cm). Small seeds may struggle to germinate when sown deeper than 1cm If the soil is dry enough, rolling after you have sown the seeds can: improve seed-to-soil contact keep moisture reduce the risk of slug damage Your seed supplier can: help you choose a seed mix that€™s the best match for your land and local conditions advise you on an overall sowing rate for the seed mix you choose Using natural regeneration Using natural regeneration means the grasses in the buffer strip are local to your area. It can take longer to establish the buffer strip, but it may cost less. To encourage the seeds that are already in the soil to germinate, you can cultivate the soil between spring and late summer. Maintaining the established grass buffer strip Once the grass buffer strip is established, this action requires you to maintain it by managing it in a way that can reasonably be expected to achieve this action€™s aim. You can cut (unless it€™s for hay or silage)    or graze the grass buffer strip, as long as this action€™s requirements are met. To provide habitat and a refuge for wildlife, you can: cut up to half of the width of the buffer strip stagger cutting, so you do not cut all your buffer strips at the same time Controlling weeds You may need to control weeds when they appear. To control weeds like docks, nettles, thistles and common ragwort, you can cut the affected area, providing there€™s still an intact grass sward. This action also allows you to use herbicides to weed wipe or spot treat weeds.</t>
  </si>
  <si>
    <t>CIGL3 - 4m to 12m grass buffer strip on improved grassland</t>
  </si>
  <si>
    <t>HEF6</t>
  </si>
  <si>
    <t>Manage historic and archaeological features on grassland</t>
  </si>
  <si>
    <t>This action€™s aim is that there€™s a well-managed, intact grass sward or vegetation throughout the year which: covers an historic or archaeological feature has minimal bare ground, scrub, bracken or pernicious weeds The purpose of this is to: protect historic and archaeological features help maintain and conserve landscape character</t>
  </si>
  <si>
    <t>there€™s a well-managed, intact grass sward or vegetation throughout the year which: covers an historic or archaeological feature has minimal bare ground, scrub, bracken or pernicious weeds T</t>
  </si>
  <si>
    <t xml:space="preserve"> protect historic and archaeological features help maintain and conserve landscape character</t>
  </si>
  <si>
    <t>You can do this action on agricultural land that€™s: identified on your SFI Historic Environment Farm Environment Record ( HEFER ) as containing an historic or archaeological feature €“ you must get a SFI HEFER before you apply for this action an eligible land type (as defined in section 5.1 €˜Eligible land types for SFI €™ in the SFI scheme information) registered with an eligible land cover on your digital maps declared with a land use code that€™s compatible with the eligible land cover You cannot do this action on land parcels of more than 15ha above the moorland line. Eligible land Eligible land type Eligible land cover Compatible land use code Permanent grassland Permanent grassland PG01 Eligibility of protected land Protected land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apply for this action (read section 5.6€¯€˜Land with historic or archaeological features€™ in the SFI scheme information to find out how to do this) Available area you can enter into this action Total or part of the available area in a land parcel. Rotational or static action This action is static. This means you must do it at the same location each year of this action€™s duration.</t>
  </si>
  <si>
    <t>You must manage the area containing the historic or archaeological feature in a way that can reasonably be expected to achieve this action€™s aim. This includes: maintaining a continuous grass sward or vegetation cover minimising bare ground, scrub, bracken and pernicious weeds You must not: plough, cultivate, re-seed, harrow or roll the grassland carry out supplementary feeding on or within around 6 metres (m) of the historic or archaeological feature locate vehicle or stock access routes within around 6m of the historic or archaeological feature (existing surfaced tracks can be used) Before you remove scrub or trees, you must get any relevant consents, permissions or licences. For example, you may need to apply for: a felling licence from the Forestry Commission a forestry environmental impact assessment ( EIA ) from the Forestry Commission an agriculture EIA €˜screening decision€™ from Natural England Read section 10 €˜Get all necessary regulatory consents, permissions and licences in place€™ in the SFI scheme information.</t>
  </si>
  <si>
    <t>You must do this action from its start date, throughout each year of this action€™s 5-year duration.</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</si>
  <si>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OFC1, OFC2, OFM1, OFM2, PRF2, CIPM1, CMOR1, CNUM1, CSAM1 SFI 2023 actions IPM1, MOR1, NUM1, SAM1 CS options OR1, OR2, OT1, OT2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</si>
  <si>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Managing historic and archaeological features on grassland To help you achieve this action€™s aim, you can graze the grassland with livestock or cut it. To support grazing you may need capital items such as: fencing gates troughs You can apply for capital grants to help you do this. You€™ll need to check if you need consent to install these items on a scheduled monument. Read section 10 €˜Get all necessary regulatory consents, permissions and licences in place€™ of the SFI scheme information for more details. Grazing grassland You can manage livestock to avoid: overgrazing, which can cause erosion or bare patches undergrazing, which can cause scrub to develop Grazing with smaller and lighter livestock (such as sheep) can: reduce the risk of damage to the historic or archaeological feature minimise harm on steep slopes or wetter soils To reduce poaching and erosion, you can: reduce livestock numbers or use lighter animals, such as sheep manage the way livestock move around historic or archaeological features by relocating gates or water troughs remove heavier livestock like cattle in the winter Cutting grassland If you manage the grassland by mowing or strimming, try to avoid the ground becoming compacted. To minimise damage to the historic or archaeological features, you can avoid: cutting when the ground is too wet using flail mowers clipping the features by mowing too close mowing on steep earthworks Using higher cutting heights can avoid scalping. Where possible, try to mow at right-angles on linear earthworks, rather than following the feature. Adding manure or fertiliser If you apply manure or fertiliser, try to avoid causing damage to the historic or archaeological feature with the machinery you use. Wherever possible, keep manure heaps away from the historic or archaeological features as: these can create bare patches when removed and encourage weeds runoff from stored manure can damage buried historic or archaeological features Managing plants and scrub Plants with deep roots can damage underground historic or archaeological features. These include: bracken nettles Japanese knotweed scrub and trees To prevent damage to the historic or archaeological features, you can: control vegetations with hand tools and chemicals, instead of mechanical cutting or crushing apply chemicals on foot or use light machinery, to avoid ground compaction and disturbance cut and treat stems, rather than uproot or dig out plants Where possible, you can remove scrub or trees to prevent damage to the historic or archaeological features. You€™ll usually need a felling licence from the Forestry Commission before you can fell growing trees. Read section 10 €˜Get all necessary regulatory consents, permissions and licences in place€™ of the SFI scheme information for more details.</t>
  </si>
  <si>
    <t>HEF6 - Manage historic and archaeological features on grassland</t>
  </si>
  <si>
    <t>AHW1</t>
  </si>
  <si>
    <t>Bumblebird mix</t>
  </si>
  <si>
    <t>This action€™s aim is that there€™s an established multi-annual mix of seed-bearing crops and flower species which: is growing in blocks or strips produces small seeds for farmland birds from late autumn until late winter produces areas of pollen and nectar-rich flowering plants during the growing season The purpose of this is to: provide food resources for farmland birds and nectar feeding insects, such as bumble bees, solitary bees, butterflies and hoverflies increase biodiversity support an integrated pest management approach if located close to cropped areas</t>
  </si>
  <si>
    <t>there€™s an established multi-annual mix of seed-bearing crops and flower species which: is growing in blocks or strips produces small seeds for farmland birds from late autumn until late winter produces areas of pollen and nectar-rich flowering plants during the growing season T</t>
  </si>
  <si>
    <t xml:space="preserve"> provide food resources for farmland birds and nectar feeding insects, such as bumble bees, solitary bees, butterflies and hoverflies increase biodiversity support an integrated pest management approach if located close to cropped areas</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</si>
  <si>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This is a €˜limited area€™ action. The total eligible area you enter into any combination of one or more of the €˜limited area€™ actions must not be more than 25% of the total agricultural area of your farm. Read section 1.3 €˜ SFI actions with a limited area€™ in the SFI scheme information for more details (including a list of €˜limited area€™ actions). Eligible land Eligible land type Eligible land cover Compatible land use code Arable land used to grow crops Arable land Land use codes for arable crops or leguminous and nitrogen-fixing crops Temporary grassland Arable land TG01 Arable land lying fallow Arable land FA01 Horticultural permanent crops, such as bush orchards Permanent crops TC01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Part of the available area in a land parcel. Rotational or static action This action is rotational or static. This means you can either: move its location for the second year or third year of this action€™s duration do it at the same location each year of this action€™s duration</t>
  </si>
  <si>
    <t>You must establish a bumblebird mix as a block or strip on land entered into this action. You must use a seed mix which as a minimum includes both: 6 flower species 6 seed-bearing crops, with a maximum of 3 cereal crops from barley, oats, rye, triticale and wheat Once the bumblebird mix block or strip is established, you must maintain it. To do this, you must manage it in a way that can reasonably be expected to achieve this action€™s aim. You must not apply pesticides, except for herbicides to weed wipe or spot treat to control injurious weeds , invasive non-native species , or nettles. You can maintain an existing bumblebird mix block or strip to get paid for this action if it: meets this action€™s requirements is not already being paid for under another environmental land management scheme option, such as Countryside Stewardship option AB16 (autumn sown bumblebird mix)</t>
  </si>
  <si>
    <t>You must: establish the bumblebird mix block or strip between early spring and early autumn, within 12 months of this action€™s start date maintain the mix at the same location for a period of time that can reasonably be expected to achieve this action€™s aim this will usually be until the end of the second summer after sowing after this period of time, re-establish the bumblebird mix block or strip between early spring and early autumn (either at the same location or a different location) and maintain it until this action€™s end date</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</si>
  <si>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OFC3, OFC4, OFC5, OFM4, OFM5, OFM6, AGF1, AGF2, PRF1, PRF2, CIPM1, CNUM1, CSAM1 SFI 2023 actions IPM1, IPM4, NUM1, SAM1 CS options OR3, OR4, OR5, OT3, OT4, OT5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</si>
  <si>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a seed mix This action explains the minimum requirement for the seed mix (under €˜What to do€™). You can choose to sow a seed mix containing more flower species and seed-bearing crops than this action requires. Using an enhanced mix can be beneficial as it retains more flower species for longer and is likely to mean less frequent re-sowing. It can also help to provide a more varied mix of flowers for beneficial insects. Examples of autumn-sown and spring-sown seed mixes are shown in the following tables. Table 1: Example of an autumn-sown seed mix Crop kg per ha Flower species kg per ha Winter triticale 15 Alsike clover 0.6 Winter wheat 20 Bird€™s-foot trefoil 1.5 Fodder radish 1 Common vetch 5 Gold of pleasure 2 Lucerne 0.5 Kale 2 Phacelia 0.4 Winter linseed 10 Red campion 0.3 - - Red clover 1.2 Total 50 Total 10kg Table 2: Example of a spring-sown seed mix Crop kg per ha Flower species kg per ha Spring triticale 10 Alsike clover 0.6 Spring wheat 20 Bird€™s-foot trefoil 1.5 Red millet 2 Common vetch 5 White millet 3 Lucerne 0.5 Fodder radish 1 Phacelia 0.4 Gold of pleasure 3 Red campion 0.3 Mustard 1 Red clover 1.2 Linseed 10 White campion 0.2 - - Wild carrot 0.3 Total 50 Total 10 Your seed supplier can help you choose a seed mix that€™s the best match for your land and local conditions. Where to sow the seed mix You can sow the seed mix in blocks or strips on most soil types. You can sow the seed mix in blocks or strips on most soil types. This action also works well on heavier soils where spring-sowing of winter bird food is challenging. As with conventional crops, more seeds and flowers will be produced if you sow it on better ground. It will usually help to benefit most pollinators if you choose a more sheltered site that faces south or west. Try to avoid sites with high weed burdens to reduce competition from aggressive weeds such as thistles, blackgrass and sterile brome. You can use larger blocks or strips (between around 04 hectares (ha) and 5ha) to: make them easier to manage provide food for seed-eating farmland birds longer into the winter help insects to move to safety when neighbouring crops are treated How and when to sow the seed mix Your seed supplier can advise you on an overall sowing rate for the seed mix you choose. It will usually help the seeds to germinate if you sow the seed mix: into a seedbed that€™s firm, consolidated, fine, level and weed free when the weather and soil moisture is suitable for the crops in your seed mix this will usually be in May or June for spring-sown mixes, and from late August to mid-September for autumn-sown mixes You can either: broadcast the seeds onto the surface of the seedbed to help germination shallow-drill the seeds up to a depth of 1 centimetre (cm) small seeds usually struggle to germinate when sown deeper than 1cm After you have sown the seed mix, you can roll the seeds (if the soil is dry enough) to improve: seed-to-soil contact retain moisture reduce the risk of slug damage Managing the bumblebird mix blocks or strips during establishment Around 4 weeks after sowing, it€™s advisable to check the block or strip for germination. If establishment is poor, you may need to re-sow part or all the block or strip. Your seed supplier can help you if you€™re unsure what to do. Maintaining established blocks or strips Once the block or strip is established, this action requires you to maintain it by managing it in a way that can reasonably be expected to achieve this action€™s aim. To help you achieve this action€™s aim, you can leave the block or strip uncut until the second spring after sowing. If it was sown: in spring of calendar year 1, this will be spring in calendar year 2 in autumn of calendar year 1, this will be spring in calendar year 3 It€™s advisable not to cut the block or strip after you have fed the seed-producing crops over winter. Cutting the block or strip in March or April can help you: control weeds encourage earlier flowering remove the previous year€™s vegetation Try to avoid grazing the area as this can reduce the amount of: small seeds over winter pollen and nectar-rich flowers during spring, summer and autumn Re-sowing bumblebird blocks or strips If you€™re maintaining an existing bumblebird block or strip to meet this action, you€™re required to re-sow the mix between early spring and early autumn. This is explained under €˜When to do it€™. It€™s advisable to re-sow the mix around 24 months after the original sowing date. To improve your soil€™s health, you can allow time to incorporate any legume biomass before sowing the next crop in August. If you€™re planning to sow a spring-sown crop, you can leave the bumblebird mix in the ground over winter to maximise the nutrient and soil health benefits of the sown plants.</t>
  </si>
  <si>
    <t>AHW1 - Bumblebird mix</t>
  </si>
  <si>
    <t>WBD5</t>
  </si>
  <si>
    <t>Manage intensive grassland adjacent to a watercourse</t>
  </si>
  <si>
    <t>This action€™s aim is that there€™s a dense and diverse grass sward throughout the year which: is on land at risk of erosion or surface runoff that€™s adjacent to a watercourse, or that creates a buffer to a sensitive habitat has a range of heights during the autumn and winter months has minimal bare ground, so the soil is covered by vegetation and is not directly exposed to the elements has low fertiliser inputs The purpose of this is to: reduce soil compaction reduce surface runoff and risk of diffuse pollution to the watercourse help to reduce the risk of flooding</t>
  </si>
  <si>
    <t>there€™s a dense and diverse grass sward throughout the year which: is on land at risk of erosion or surface runoff that€™s adjacent to a watercourse, or that creates a buffer to a sensitive habitat has a range of heights during the autumn and winter months has minimal bare ground, so the soil is covered by vegetation and is not directly exposed to the elements has low fertiliser inputs T</t>
  </si>
  <si>
    <t xml:space="preserve"> reduce soil compaction reduce surface runoff and risk of diffuse pollution to the watercourse help to reduce the risk of flooding</t>
  </si>
  <si>
    <t>You can do this action on sloping agricultural land which drains directly into a watercourse (stream, river or lake) that€™s: managed intensively this usually means it€™s been receiving more than 200 kilograms (kg) nitrogen per ha per year before it€™s entered into this action next to a watercourse and has been identified by you as being at risk of soil erosion or surface runoff, or important for buffering €˜sensitive habitats€™ you must keep evidence of this an eligible land type (as defined in section 5.1 €˜Eligible land types for SFI €™ in the SFI scheme information) registered with an eligible land cover on your digital maps declared with a land use code which is compatible with the eligible land cover For the purposes of this action, €˜sensitive habitats€™ include: watercourses and waterbodies (streams, rivers, ponds or lakes) sites of special scientific interest ( SSSIs ) at risk of diffuse water pollution you can find these on the MAGIC website priority habitats you can find these on Natural England€™s priority habitat inventory map or the MAGIC website Eligible land Eligible land type Eligible land cover Compatible land use code Temporary grassland Arable land TG01 Improved permanent grassland Permanent grassland PG01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if this action will not have a damaging effect, you must get a SFI HEFER before you do this action (read section 5.6€¯€˜Land with historic or archaeological features€™ in the SFI scheme information to find out how to do this) Available area you can enter into this action Total or part of the available area in a land parcel. Rotational or static action This action is static. This means you must do it at the same location each year of this action€™s duration.</t>
  </si>
  <si>
    <t>You must: establish a diverse grass sward on land entered into this action use a seed mix which includes at least 5 grass species Once the grass sward is established, you must maintain it. To do this, you must manage it in a way that can reasonably be expected to achieve this action€™s aim. This includes: making sure there€™s an intact sward throughout the year, with minimal bare ground grazing during the spring or summer months, or both seasons cutting the sward in late summer, after the bird breeding season, with cuttings removed You must not do the following on the grass sward: graze it with livestock during the autumn and winter months (usually from early October until mid-March) apply pesticides, except for herbicides to weed wipe or spot treat to control injurious weeds , invasive non-native species , or nettles apply any fertilisers or manures from late summer until mid-winter (usually from mid-August until the end of January) this is to reduce the risk of runoff apply any livestock manures with 100kg or more of total nitrogen per ha per year where you do not use livestock manures, apply nitrogen fertiliser to supply 50kg or more per ha of total nitrogen per year supplementary feed, except for non-energy based mineral blocks You can maintain an existing grass sward to get paid for this action if it: meets this action€™s requirements is not already being paid for under another environmental land management scheme option, such as CS option SW8 (management of intensive grassland adjacent to a watercourse)</t>
  </si>
  <si>
    <t>If you€™re establishing a new grass sward to meet this action, you must: sow the mix by early autumn, within 12 months of this action€™s start date maintain the mix at the same location until this action€™s end date If you€™re maintaining an existing grass sward to meet this action, you must do this until this action€™s end date.</t>
  </si>
  <si>
    <t>You must keep written evidence that land entered into this action is either: at risk of soil erosion or surface runoff - you can use the soil management plan produced for CSAM1 or SAM1 to identify this important for creating a buffer to sensitive habitats You must also keep evidence to show what you€™ve done to complete this action, such as: field operations at a land parcel level and associated invoices, including details of the seed mix used stocking records to show grazing activity at a land parcel level input records of nitrogen application photographs and other documentation If it€™s not clear that you€™ve done this action in a way that could reasonably be expected to achieve its aim, we may ask for this evidence. You must supply this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</si>
  <si>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OFC1, OFM1, AGF1, AGF2, PRF1, PRF2, CIPM1, CNUM1, CSAM1 SFI 2023 actions IPM1, NUM1, SAM1 CS options OR1, OT1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supplemental action WB9 (nil fertiliser supplement) on land entered into this action.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</si>
  <si>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What to sow This action explains the minimum number of grass species required (under €˜What to do€™). You can tailor your choice of grass species to your soil type, how and when you plan to cut your sward. The following species will grow in most conditions and can form part of a basic grass seed mixture: timothy (use with care as this is tussocky, vigorous and can become dominant) cocksfoot (use with care as this is tussocky, vigorous and can become dominant) crested dogstail red fescue smooth stalked meadow grass You can increase the environmental benefits by adding wildflowers such as: ox-eye daisy black knapweed bird€™s foot trefoil common sorrel It will help if you establish the grass sward by early October. Managing a grass sward Controlling weeds and cutting the sward regularly in the first 1 to 2 years of the sward being established will encourage grasses to grow. Cutting the grass sward Before you cut the sward, check it for signs of nesting birds. Birds, nests and eggs are protected by law, so if you see signs of nesting birds, delay cutting until the birds have fledged.</t>
  </si>
  <si>
    <t>WBD5 - Manage intensive grassland adjacent to a watercourse</t>
  </si>
  <si>
    <t>AHW5</t>
  </si>
  <si>
    <t>Nesting plots for lapwing</t>
  </si>
  <si>
    <t>This action€™s aim is that there are fallow cultivated plots within an arable crop which: have enough bare ground for nesting lapwings are present from early spring until the arable crop is harvested in the summer The purpose of this is to provide: nesting sites for lapwing habitats for other declining farmland birds, farmland wildlife and important arable plants</t>
  </si>
  <si>
    <t>there are fallow cultivated plots within an arable crop which: have enough bare ground for nesting lapwings are present from early spring until the arable crop is harvested in the summer T</t>
  </si>
  <si>
    <t>provide: nesting sites for lapwing habitats for other declining farmland birds, farmland wildlife and important arable plants</t>
  </si>
  <si>
    <t>You can do this action on agricultural land located below the moorland line that€™s: identified by you as not being at risk of soil erosion or surface runoff you must keep evidence of this an eligible land type (as defined in section 5.1 €˜Eligible land types for SFI €™ in the SFI scheme information) registered with an eligible land cover on your digital maps declared with a land use code which is compatible with the eligible land cover You must not do this action on land that€™s within around: 100 metres (m) of woods, in-field and hedgerow trees, buildings, overhead power lines, main road and public rights of way 200m of wind turbines Eligible land Eligible land type Eligible land cover Compatible land use code Arable land used to grow crops Arable land Land use codes for arable crops or leguminous and nitrogen-fixing crops Temporary grassland Arable land TG01 Arable land lying fallow Arable land FA01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Ineligible you must not enter any area that contains an historic or archaeological feature into this action. This only affects the area where the feature is located in a land parcel. You can apply for this action on the remaining area in the land parcel if it€™s eligible. Available area you can enter into this action Part of the available area in a land parcel. Rotational or static action This action is rotational or static. This means you can either: move its location for the second and third years of this action€™s duration do it at the same location each year of this action€™s duration</t>
  </si>
  <si>
    <t>By early spring, you must establish a fallow cultivated plot within the arable crop. You must manage the fallow cultivated plot in a way that can reasonably be expected to achieve this action€™s aim. This includes managing natural regeneration if it means there is not enough bare ground for nesting birds. You must retain the fallow cultivated plot until the arable crop is harvested in the summer and the bird nesting season is complete (usually this will be late July). You can maintain an existing lapwing plot to get paid for this action if it: meets this action€™s requirements is not already being paid for under another environmental land management scheme option, such as Countryside Stewardship option AB5 (lapwing plots)</t>
  </si>
  <si>
    <t>You must do this action each year of its 3-year duration. If this action€™s start date means it€™s too late to establish the lapwing plot, you must do this within 12 months of this action€™s start date. In the final year of this action€™s duration, you must do this action until the arable crop is harvested in the summer or this action€™s end date, whichever is earlier.</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</si>
  <si>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AHW6, AHW7, OFC3, OFC4, OFM4, OFM5, PRF1, PRF2, PRF4, CIPM1, CNUM1, CSAM1, CSAM2 SFI 2023 actions IPM1, IPM4, NUM1, SAM1 CS options AB2, AB6, AB11, AB14, AB15, HS3, HS9, OR3, OR4, OT3, OT4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</si>
  <si>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the right location It can help if you locate the nesting plots for lapwing: on level or slightly sloping ground next to extensively managed grassland where lapwings can feed their chicks on arable fields which are at least around 5 hectares (ha), or around 10ha if woodland forms at least a quarter of the field boundary away from waterlogged areas or land with weeds such as black-grass, wild oats or sterile brome Size of plots To maximise the benefits for nesting lapwing, you can establish plots which are at least around 1ha up to 5ha in size. You can use this action in a sequence with basic overwinter stubble to provide a continuity of habitat for species such as skylark and corn bunting. How to establish the plots You can establish the lapwing plots by either: cultivation try to create the appearance of a very rough seedbed, as lapwings rarely nest on a bare surface that€™s too smooth spraying to create the fallow When to establish the plots You can establish the lapwing plots on lighter, chalky, sandy and loamy free-draining soils in February or March. On heavier soils, you can: plough plots the previous autumn allow them to weather down to provide suitable nesting conditions by early spring Machinery access You can avoid damaging the lapwing plots when using machinery to carry out day-to-day farm operations (such as spraying and fertilising) if it: keeps to the tramlines is switched off when passing over the plots Check plots and plot tramlines for signs of nests before you do these operations.</t>
  </si>
  <si>
    <t>AHW5 - Nesting plots for lapwing</t>
  </si>
  <si>
    <t>AHW11</t>
  </si>
  <si>
    <t>Cultivated areas for arable plants</t>
  </si>
  <si>
    <t>This action€™s aim is that there are fallow cultivated margins or plots with: a fine surface suitable for wild arable plants to establish from the soil seed bank when they€™re cultivated in the spring or autumn natural vegetative cover throughout the growing season until the end of the summer The purpose of this is to: allow scarce and declining wild arable plants to increase their populations over time provide areas of less densely vegetated ground for insects, such as bumblebees, solitary bees and hoverflies provide summer foraging habitats for farmland birds, such as grey partridge and turtle dove</t>
  </si>
  <si>
    <t>there are fallow cultivated margins or plots with: a fine surface suitable for wild arable plants to establish from the soil seed bank when they€™re cultivated in the spring or autumn natural vegetative cover throughout the growing season until the end of the summer T</t>
  </si>
  <si>
    <t xml:space="preserve"> allow scarce and declining wild arable plants to increase their populations over time provide areas of less densely vegetated ground for insects, such as bumblebees, solitary bees and hoverflies provide summer foraging habitats for farmland birds, such as grey partridge and turtle dove</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</si>
  <si>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This is a €˜limited area€™ action. The total eligible area you enter into any combination of one or more of the €˜limited area€™ actions must not be more than 25% of the total agricultural area of your farm. Read section 1.3 €˜ SFI actions with a limited area€™ in the SFI scheme information for more details (including a list of the €˜limited area€™ actions). Eligible land Eligible land type Eligible land cover Compatible land use code Arable land used to grow crops Arable land Land use codes for arable crops or leguminous and nitrogen-fixing crops Temporary grassland Arable land TG01 Arable land lying fallow Arable land FA01 Eligibility of protected land Protected land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Part of the available area in a land parcel. Rotational or static action This action is rotational or static. This means you can either: move its location for the second and third years of this action€™s duration do it at the same location each year of this action€™s duration</t>
  </si>
  <si>
    <t>You must create a fallow margin or plot by cultivating it in the spring or autumn in a way that can reasonably be expected to achieve this action€™s aim. You must manage the fallow cultivated margin or plot in a way that can reasonably be expected to achieve this action€™s aim. You must not do the following on the fallow cultivated margin or plot: disturb it before the end of the summer months (usually around the end of August) use it as regular access tracks for vehicles apply any fertilisers, manures or lime apply pesticides, except for herbicides to weed wipe or spot treat to control injurious weeds , invasive non-native species , or nettles You can use an existing cultivated fallow margin or plot to get paid for this action if it: meets this action€™s requirements is not already being paid for under another environmental land management scheme action or option, such as Countryside Stewardship ( CS ) option AB11 (cultivated areas for arable plants)</t>
  </si>
  <si>
    <t>You must do this action each year of its 3-year duration. If this action€™s start date means it€™s too late for you to create the fallow margin or plot, you must create it within 12 months of its start date. In the final year of this action€™s duration, you must do the action until the end of the summer months or this action€™s end date, whichever is earlier.</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</si>
  <si>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AHW6, OFC3, OFC4, OFM4, OFM5, AGF1, AGF2, PRF1, PRF2, CIPM1, CNUM1, CSAM1, CSAM2 SFI 2023 actions IPM1, NUM1, SAM1, SAM2 CS options AB2, AB9, HS3, HS9, SW5, SW6, OR3, OR4, OT3, OT4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</si>
  <si>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the right location It€™s usually best to locate cultivated areas for arable plants along south-facing headlands. This will help to: allow more desirable arable plants to germinate, flower and set seed provide better foraging for insects, such as wild pollinators Wild arable plants are more likely to establish on cultivated areas which are: around the edges of fields next to old farm tracks adjacent to boundary features, such as hedgerows Using a cultivated margin or plot that€™s up to around 6 metres (m) wide will usually work well for this action. You could also consider using fields with a long history of cultivation, with old grass margins that were previously arable. Some of the more common species of arable plants are good €˜indicator€™ species. They indicate the potential of an area to hold rich arable flora in the soil seed bank. Controlling weeds on your margins or plots To help control and prevent a build-up of undesirable weeds, you can: rotate the cultivated margins or plots around your farm vary cultivation timing and depth this can also provide suitable conditions for germinating arable plants in the spring and autumn To prevent seeding of undesirable weeds (such as wild oats and creeping thistle), you can top at a height of around 30 centimetres (cm). It€™s best to do this during the growing season, as many of the desirable arable plant species are shorter than this. To control weeds such as black-grass, brome, couch, common ragwort and thistles, you can: use targeted application equipment (such as a knapsack, hand-lance or weed wiper) to apply herbicide by weed wiping or spot treating herbicide during the spring and summer cultivate the land before you establish the cultivated area in the spring or autumn carry out a broadacre application of non-selective herbicide before you establish the cultivated area in the spring or autumn If grass weeds become a problem, you can create a stale autumn seedbed and cultivate it in mid-March to help control them. It€™s advisable to not do this more frequently that once every 3 years. This is particularly relevant on heavy clay sites. Ploughing can also be useful for controlling grass weeds.</t>
  </si>
  <si>
    <t>AHW11 - Cultivated areas for arable plants</t>
  </si>
  <si>
    <t>HEF8</t>
  </si>
  <si>
    <t>Maintain designed or engineered waterbodies</t>
  </si>
  <si>
    <t>per hectare you can only include the land area where you€™ll do this action (not the area of water) You can calculate the hectarage by: measuring the length of the buffer strip in metres (m) multiplying that length by the relevant width (4m to 20m) to give the area in square metres (m 2 ) dividing that area by 10,000 to convert it into ha</t>
  </si>
  <si>
    <t>This action€™s aim is that there€™s a designed or engineered historic waterbody with: an intact vegetated grass buffer strip around the water body and any associated features throughout the year minimal bare ground and scrub the majority of the water surface not permanently shaded associated structural water control features maintained The purpose of this is to: protect the banks and associated historic built water control features of designed or engineered historic water bodies maintain or strengthen the role of the water control features in water quality management conserve the character of the waterbody help to maintain and conserve landscape character</t>
  </si>
  <si>
    <t>there€™s a designed or engineered historic waterbody with: an intact vegetated grass buffer strip around the water body and any associated features throughout the year minimal bare ground and scrub the majority of the water surface not permanently shaded associated structural water control features maintained T</t>
  </si>
  <si>
    <t xml:space="preserve"> protect the banks and associated historic built water control features of designed or engineered historic water bodies maintain or strengthen the role of the water control features in water quality management conserve the character of the waterbody help to maintain and conserve landscape character</t>
  </si>
  <si>
    <t>You can do this action on land which contains an eligible designed or engineered water body and is: an eligible land type (as defined in section 5.1 €˜Eligible land types for SFI €™ in the SFI scheme information) registered with an eligible land cover on your digital maps declared with a land use code which is compatible with the eligible land cover An eligible designed or engineered water body for this action must have an artificially retained area of open standing water. There may be associated structural water control features, such as leats and culverts. The following waterbodies are not eligible for this action: field ponds dug to below the water table water meadows (both bedwork and catch meadow systems) water bodies that are covered by the Reservoirs Act 1975 raised water bodies the Environment Agency has identified as high risk under the Flood and Water Management Act 2010 Eligible land Eligible land type Eligible land cover Compatible land use code Temporary grassland Arable land TG01 Permanent grassland Permanent grassland PG01 Woodland Woodland WO12 Eligibility of protected land Protected land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Part of the available area in a land parcel. Rotational or static action This action is static. This means you must do it at the same location each year of this action€™s duration.</t>
  </si>
  <si>
    <t>You must establish and maintain a permanently vegetated buffer strip that€™s: at least 4m wide along its entire length and up to 20m wide (on average in each land parcel) on the perimeter or bank around the water body and around any associated water control features You must maintain the buffer strip in a way that can reasonably be expected to achieve this action€™s aim, including: minimising bare ground and compaction minimising scrub on the banks of the water body making sure there€™s no more than a quarter of the water body permanently shaded by vegetation or tree growth removing all cut material To maintain the structural features associated with the water body, you must: complete a visual assessment of the features to check their condition and identify any required maintenance works and minor repairs you must produce a structures maintenance record carry out maintenance works and minor repairs on structural features associated with the water body on a €˜like-for-like€™ basis keep any non-traditional material that was previously used to repair or re-clad the features You must not: alter the depth, shape, profile and design of the built water body and associated engineering erect new fences You can maintain an existing vegetated buffer strip to get paid for this action if it: meets this action€™s requirements is not already being paid for under another environmental land management scheme option, such as Countryside Stewardship ( CS ) option HS6 (maintenance of designed/engineered water bodies)</t>
  </si>
  <si>
    <t>You must: establish the buffer strip within 12 months of this action€™s start date maintain the buffer strip throughout each subsequent year of this action€™s duration complete the visual assessment of the structural features associated with the water body at least once during each year of this action€™s 5-year duration carry out any necessary maintenance works and minor repairs within 12 months of identification, or by this action€™s end date if you identify the need for maintenance or repair during the final year of this action€™s duration</t>
  </si>
  <si>
    <t>You must keep the required structures maintenance record. You must also keep evidence to show what you€™ve done to complete this action, such as: field operations at a land parcel level and associated invoices photographs or other documentation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</si>
  <si>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OFC1, OFM1, AGF1, AGF2, PRF2, CMOR1 SFI 2023 actions MOR1 CS options WD2, OR1, OT1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</si>
  <si>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Carrying out maintenance works To help you achieve this action€™s aim, you can: regularly inspect buffer strips to make sure no scrub is developing inspect associated structural water control features to make sure they are working properly clear vegetation from leats, sluices, hatches and dams, and repointing retaining walls As water levels are lower and more of the structural features associated with the water body are visible, summer is usually the best time for you to: completing the visual assessment of the features carrying out maintenance works and minor repairs</t>
  </si>
  <si>
    <t>HEF8 - Maintain designed or engineered waterbodies</t>
  </si>
  <si>
    <t>AHW4</t>
  </si>
  <si>
    <t>Skylark plots</t>
  </si>
  <si>
    <t>per plot per year (minimum 2 plots per hectare (ha))</t>
  </si>
  <si>
    <t>This action€™s aim is that there are fallow plots for nesting skylarks within a winter cereal crop, until the crop is harvested in the summer. The purpose of this is to provide skylarks with suitable nesting habitats in winter cereal crops throughout their breeding season.</t>
  </si>
  <si>
    <t>there are fallow plots for nesting skylarks within a winter cereal crop, until the crop is harvested in the summer. T</t>
  </si>
  <si>
    <t>provide skylarks with suitable nesting habitats in winter cereal crops throughout their breeding season.</t>
  </si>
  <si>
    <t>You can do this action on agricultural land located below the moorland line that€™s: identified by you as not being at risk of soil erosion or surface runoff you must keep evidence of this an eligible land type (as defined in section 5.1 €˜Eligible land types for SFI €™ in the SFI scheme information) registered with an eligible land cover on your digital maps declared with a land use code which is compatible with the eligible land cover You must not do this action on land that€™s bounded by tree lines or adjacent to woods, unless the land parcel is larger than 10ha. This is because it increases the risks of predator attack. Eligible land Eligible land type Eligible land cover Compatible land use code Arable land used to grow crops Arable land Land use codes for arable crops or leguminous and nitrogen-fixing crops Temporary grassland Arable land TG01 Arable land lying fallow Arable land FA01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Not applicable you€™ll apply per plot (minimum 2 plots per ha). Rotational or static action This action is rotational or static. This means you can either: move its location for the second and third years of this action€™s duration do it at the same location each year of this action€™s duration</t>
  </si>
  <si>
    <t>During the autumn and winter, you must create fallow plots within a winter cereal crop. For each land parcel where you do this action, there must be at least 2 plots per ha of winter cereal crop you€™re growing. For example, if you€™re growing 5ha of winter cereal crop in a land parcel, there must be at least 10 plots. You must make sure that the plots are large enough to meet this action€™s aim. This will usually mean they need to be at least 3m wide and around 16 square metres in area. You must retain the fallow plots until the winter cereal crop is harvested in the summer. You must not locate the fallow plots in tramlines, boundaries or margins, as this increases risk of attacks on skylark nests by predators. You can maintain an existing skylark plot to get paid for this action if it: meets this action€™s requirements is not already being paid for under another environmental land management scheme option, such as Countryside Stewardship option AB4 (skylark plots)</t>
  </si>
  <si>
    <t>You must do this action each year of its 3-year duration. If this action€™s start date means it€™s too late to establish the skylark plot, you must do this within 12 months of this action€™s start date. In the final year of this action€™s duration, you must do this action until the winter cereal crop is harvested, or this action€™s end date whichever is earlier.</t>
  </si>
  <si>
    <t>You must keep written evidence that land entered into this action is not at risk of soil erosion or surface runoff. You can use the soil management plan produced for CSAM1 or SAM1 to identify this. You must keep evidence to show what you€™ve done to complete this action, such as: field operations at a land parcel level and associated invoices photographs or other documentation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</si>
  <si>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CSAM1, CNUM1, CIPM1, OFM4, OFC3 SFI 2023 actions SAM1, IPM4, NUM1, IPM1 CS options HS3, HS9, OR3, OT3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</si>
  <si>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the right location To help make sure there is easy landing and foraging access for skylarks, you can locate the plots: in large, open winter cereal fields this will usually be around at least 5ha (or at least around 10ha where fields are bordered by mature scrub, tall hedgerows, trees and woodland) in field where skylarks are present or have nested in the past on land with little or no spring cropping, where possible between tramlines, away from telegraph poles and pylons (and at least around 80 metres from field edges) close to complementary wildlife habitats that are insect and seed rich such as, cultivated areas for arable plants, flower-rich margins, enhanced overwintered stubble and winter bird food How to establish the plots You can establish the skylark plots by either: turning off the drill during sowing to leave an unsown plot drilling the field and spraying the plot areas with a non-selective herbicide by the end of December If you establish the plots by spraying, this can reduce foraging opportunities for the insects which skylarks forage for. This is because these areas will not have much vegetation for longer. Managing the plots After drilling, you can apply fertiliser and spray treatments to the skylark plots, as well as the adjacent crop. You do not need to keep the plots weed-free. Birds, nests and eggs are protected by law. To avoid damage to skylark nests, avoid mechanically weeding the winter cereal crop between April and harvesting. You can control weeds (such as black-grass and wild oat) by spot spraying using a hand-held device (such as a knapsack or hand lance) before they flower and set seed.</t>
  </si>
  <si>
    <t>AHW4 - Skylark plots</t>
  </si>
  <si>
    <t>SPM5</t>
  </si>
  <si>
    <t>Keep native breeds on extensively managed habitats supplement (more than 80%)</t>
  </si>
  <si>
    <t>This supplemental action€™s aim is that more than 80% of grazing livestock units ( GLU ) on moorland or lowland heathland habitats are rare native breeds of livestock. The purpose of this is to maintain or increase the number of rare native breed grazing livestock.</t>
  </si>
  <si>
    <t>more than 80% of grazing livestock units ( GLU ) on moorland or lowland heathland habitats are rare native breeds of livestock. T</t>
  </si>
  <si>
    <t>You can only do this supplemental action on eligible land that you€™re grazing with livestock, which is entered into one of the following base actions: AGF1: Maintain very low density in-field agroforestry on less sensitive land AGF2: Maintain low density in-field agroforestry on less sensitive land UPL1: Moderate livestock grazing on moorland UPL2: Low livestock grazing on moorland UPL3: Limited livestock grazing on moorland UPL7: Shepherding livestock on moorland (no required stock removal period) UPL8: Shepherding livestock on moorland (remove stock for at least 4 months) UPL9: Shepherding livestock on moorland (remove stock for at least 6 months) UPL10: Shepherding livestock on moorland (remove stock for at least 8 months) SCR2: Manage scrub and open habitat mosaics OFM3: Organic land management enclosed rough grazing GRH1: Manage rough grazing for birds You cannot do this action on land that€™s already entered into an equivalent base action in a Countryside Stewardship agreement. This includes: WD7: Management of successional areas and scrub WD8: Creation of successional areas and scrub OT6: Organic land management enclosed rough grazing UP2: Management of rough grazing for birds Eligibility of protected land Protected land Eligibility Sites of special scientific interest ( SSSIs ) Same as your selected base action Historic and archaeological features Same as your selected base action Available area you can enter into this action Same as your selected base action. Rotational or static action Same as your selected base action.</t>
  </si>
  <si>
    <t>Each grazing season, more than 80% of total GLU on land entered into this action must be: pedigree rare native breeds this means they€™re registered in a recognised pedigree breeding book on the UK native animal breeds at risk ( NBAR ) list Where relevant, the stocking density (total GLU ) on land entered into this action must be as required in the applicable base action. To convert livestock numbers into GLU , you must use the following values: Cattle over 2 years old at the start of an agreement year€¯1.0 GLU Cattle over 6 months to 2 years old at the start of an agreement year€¯€“ 0.6 GLU Heavy sheep (for example, most lowland sheep, rams and larger hill sheep) 0.12 GLU Light sheep (for example, store lambs and small hill sheep) 0.08 GLU Goat€¯€“ 0.12 GLU Pony or donkey€¯€“ 0.8 GLU Horse€¯€“ 1.0 GLU Read the €˜advice to help you do this action€™ to find out how to calculate the livestock density. You must produce the following written records: a monthly record of grazing animals at the parcel level unique individual animal movement identification numbers for each eligible animal changes to the original documentation since the action€™s start date, such as replacement animals the unique individual permanent NBAR breed identification numbers for each eligible animal - either the pedigree registration number or birth notification number breed registration records and proof of animal provenance, parentage and availability for each animal</t>
  </si>
  <si>
    <t xml:space="preserve"> How to calculate your native breed percentage Once you€™ve converted your livestock numbers into GLU using the values shown under €˜What to do€™, you can use the Native breed grazing calculator to calculate your native breed percentage. Native breeds This action explains which native breeds are eligible (under €˜What to do€™). If you€™re sourcing native breed animals, try to choose animals which have been bred and reared on a similar habitat to where you€™ll be grazing them. If you have not used native rare breeds before you can get help from graziers or livestock conservation organisations like the Rare Breeds Survival Trust . You may find it helpful to read the Grazing Animals Project Breed Profiles Handbook . Grazing the habitat Cattle, sheep, and ponies graze in different ways. You can achieve greater environmental benefits if you graze with: a livestock species which has suitable grazing traits for the habitat type a suitable number of livestock for the habitat type You can choose to mix livestock to create a more varied habitat. Using an unsuitable livestock species or level of grazing (overgrazing or under grazing) can: damage the habitat increase surface water run-off damage historic or archaeological features, where present Grazing traits: ponies Ponies: can graze swards very tight, and at low stocking densities can create a good structural mosaic have a strong preference for grasses and will graze long coarse grass, such as purple moor-grass are very adaptable grazers, and can graze bracken (particularly in the autumn) and gorse are less likely to graze heather over the winter months compared with sheep Grazing traits: cattle Cattle: graze on longer swards, and graze less selectively than sheep and on coarser forage, creating a more varied sward structure will graze lower quality forage such as purple moor-grass, particularly in the spring and early summer Cattle are more likely to cause poaching due to their size, particularly on wetter areas. You can remove them from the area over the winter months to reduce the risk of poaching. Grazing traits: sheep Sheep: can graze swards very tight are highly selective feeders at fine scale, often selecting young flowers and shoots are unlikely to eat long coarse grasses, such as purple moor-grass, if alternative food is available can lead to a decline in dwarf shrub cover due to their selective browsing of these, particularly if they€™re grazing over the winter months Sheep can cause a decline in dwarf shrub cover due to selective browsing, particularly when out over the winter months. You can reduce the risk of this happening by: removing all the sheep for the entire winter or part of the winter (€˜partial off-wintering€™) reducing sheep numbers during the winter months Neighbouring livestock If the area of land you enter into this action is unfenced and adjacent land is grazed by other farmers or land managers, you may need to: consider the potential impact of neighbouring livestock straying on your ability to meet this action€™s requirements talk to neighbouring farmers or land managers about removing stray livestock from your area of land</t>
  </si>
  <si>
    <t>SPM5 - Supplement: Keep native breeds on extensively managed habitats (more than 80%)</t>
  </si>
  <si>
    <t>BFS5</t>
  </si>
  <si>
    <t>Protect in-field trees on intensive grassland</t>
  </si>
  <si>
    <t>This action€™s aim is that there€™s an uncultivated, naturally regenerated grass buffer which: is around an in-field tree on grassland that€™s managed intensively has minimal weeds and bare ground The purpose of this is to: protect the tree roots from damage by agricultural cultivation retain the trees as important features in the local landscape provide standing and fallen deadwood habitats for invertebrates</t>
  </si>
  <si>
    <t>there€™s an uncultivated, naturally regenerated grass buffer which: is around an in-field tree on grassland that€™s managed intensively has minimal weeds and bare ground T</t>
  </si>
  <si>
    <t xml:space="preserve"> protect the tree roots from damage by agricultural cultivation retain the trees as important features in the local landscape provide standing and fallen deadwood habitats for invertebrates</t>
  </si>
  <si>
    <t>To be eligible for this action, the tree can be alive or dead. It must: be in-field have a trunk that€™s at least 30 centimetres (cm) diameter at around 1.5 metres (m) above ground level (also known as diameter breast height) not be part of a group or line of 4 or more trees with overlapping canopies You can do this action on eligible trees on agricultural land located below the moorland line that€™s: typically receiving at least 100 kilograms (kg) per ha per year of nitrogen you must keep evidence of this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Temporary grassland Arable land TG01 Improved permanent grassland Permanent grassland PG01 Eligibility of protected land Land or features with protection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Part of the available area in a land parcel. Rotational or static action This action is static. This means you must do it at the same location each year of this action€™s duration.</t>
  </si>
  <si>
    <t>You must: allow a naturally regenerated grass buffer to establish around the in-field tree protect the tree from damage by livestock and wild animals make sure tree guards do not damage growing trees The grass buffer area around the in-field tree must be wide enough that it can reasonably be expected to protect the tree€™s roots. The width that€™s likely to achieve this will depend on the tree€™s diameter breast height ( DBH ). This means the grass buffer around the in-field tree will usually be at least: 10m if the tree€™s DBH is 30cm to 99cm€¯€“ which means the area per tree will be 0.03ha 20m if the tree€™s DBH is 100cm to 199cm€¯€“ which means the area per tree will be 0.12ha 30m if the tree€™s DBH is 200cm or more€¯€“ which means the area per tree will be 0.28ha Once the grass buffer is established, you must maintain it in a way that can reasonably be expected to achieve this action€™s aim. You must not: plough, cultivate, re-seed, harrow or roll apply any fertilisers, manures or lime apply pesticides, except for herbicides to weed wipe or spot treat to control injurious weeds , invasive non-native species , or nettles carry out supplementary feeding in a way that causes poaching on the grass buffer remove any tree limbs, including lower limbs or mature ivy growth You can maintain an existing grass buffer around an in-field tree to get paid for this action if it: meets this action€™s requirements is not already being paid for under another environmental land management scheme option, such as Countryside Stewardship option BE1 (protection of in-field trees on arable land)</t>
  </si>
  <si>
    <t>You must: establish the grass buffer within 12 months of this action€™s start date maintain the grass buffer throughout each subsequent year of this action€™s duration</t>
  </si>
  <si>
    <t>You must keep that land entered into this action is typically receiving at least 100kg per ha per year of nitrogen. You must also keep evidence to show what you€™ve done to complete this action, such as: field operations at a land parcel level and associated invoices photographs or other documentation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</si>
  <si>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OFC1, OFM1, PRF2, CIPM1, CNUM1, CSAM1 SFI 2023 actions IPM1, NUM1, SAM1 CS options OR1, OT1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</si>
  <si>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Protecting the tree from livestock damage You can protect the tree from livestock damage by: providing different shelter with water to attract animals away from trees fencing off trees to stop animals rubbing and stripping bark or trampling the base you can place them at the edge of the area you enter into this action Leaving fallen branches If there are any fallen tree limbs (branches), this action requires you to not remove them from the area. Dead wood can provide: sources of food and shelter for a wide range of wildlife nutrients to the soil as it decays To benefit wildlife and help the wood decay, you can leave the fallen branches uncut and stack them in piles: in a mix of sunny and shady areas not too high, to stop the timber drying out with as much timber as possible in contact with the ground</t>
  </si>
  <si>
    <t>BFS5 - Protect in-field trees on intensive grassland</t>
  </si>
  <si>
    <t>OFM1</t>
  </si>
  <si>
    <t>Organic land management improved permanent grassland</t>
  </si>
  <si>
    <t>This action€™s aim is that improved and semi-improved grassland is maintained under organic management. The purpose of this is to: improve soil health increase biodiversity improve water quality</t>
  </si>
  <si>
    <t>improved and semi-improved grassland is maintained under organic management. T</t>
  </si>
  <si>
    <t xml:space="preserve"> improve soil health increase biodiversity improve water quality</t>
  </si>
  <si>
    <t>You can do this action on agricultural land located below the moorland line that€™s: registered as €˜fully organic€™ by a Defra-licensed organic control body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Improved permanent grassland Permanent grassland PG01 Low input grassland that€™s semi-improved Permanent grassland PG01 Arable land used to grow crops, that you€™ll convert to permanent grassland Arable land Land use codes for arable crops or leguminous and nitrogen-fixing crops Eligibility of protected land Land or features with protection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Total available area in a land parcel. Rotational or static action This action is static. This means you must do it at the same location each year of this action€™s duration.</t>
  </si>
  <si>
    <t>You must comply with the organic standards required by your Defra-licensed organic control body on land entered into this action.</t>
  </si>
  <si>
    <t>You must keep: a valid organic certificate and schedule for all land entered into this action this must cover at least the full period of this action€™s duration records to show the land is improved grassland or semi-improved low input permanent grassland You must supply this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</si>
  <si>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BFS3, BFS5, BFS6, HEF5, HEF6, WBD4, WBD5, WBD6, WBD7, WBD8, AGF1, AGF2, PRF1, PRF2, CIPM1, CIGL1, CIGL2, CIGL3, CLIG3, CNUM1, CNUM2, CSAM1, CSAM3 SFI 2023 actions IGL1, IGL2, IGL3, IPM1, LIG1, LIG2, NUM1, NUM2, SAM1, SAM3 CS options BE2, BE5, CT2, CT4, CT5, CT7, GS1, GS2, GS5, GS7, GS8, GS9, GS10, GS11, GS12, GS13, GS14, HS2, HS4, HS5, HS6, HS7, LH3, SW2, SW7, SW8, SW9, SW10, SW11, SW12, SW13, SW15, SW16, SW18, WD4, WD5, WD6, WD10, WD11, WD12, WT1, WT7, WT9, SP7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one of the following supplemental actions on land entered into this base action: SPM2: Keep native breeds on grazed habitats supplement (50-80%) SPM3: Keep native breeds on grazed habitats supplement (more than 80%)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</si>
  <si>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OFM1 - Organic land management - improved permanent grassland</t>
  </si>
  <si>
    <t>OFC2</t>
  </si>
  <si>
    <t>Organic conversion unimproved permanent grassland</t>
  </si>
  <si>
    <t>1 year you can apply for this action for a maximum of 2 consecutive years to cover the period of organic conversion</t>
  </si>
  <si>
    <t>This action€™s aim is that unimproved permanent grassland is converted from conventional management to organic management. The purpose of this is to increase the overall area of land registered and managed as organic.</t>
  </si>
  <si>
    <t>unimproved permanent grassland is converted from conventional management to organic management. T</t>
  </si>
  <si>
    <t>increase the overall area of land registered and managed as organic.</t>
  </si>
  <si>
    <t>You can do this action on agricultural land located below the moorland line that€™s: registered as €˜in conversion€™ with a Defra-licensed organic control body an eligible land type (as defined in section 5.1 €˜Eligible land types for SFI €™ in the SFI scheme information) registered with an eligible land cover on your digital maps declared with a land use code which is compatible with the eligible land cover Land is not eligible for this action if you€™ve previously: registered it with an organic control body received organic conversion aid or funding for it Eligible land Eligible land type Eligible land cover Compatible land use code Unimproved low input permanent grassland, including rough grazing Permanent grassland PG01 Eligibility of protected land Land or features with protection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Total available area in a land parcel. Rotational or static action This action is static. This means you must do it at the same location each year of this action€™s duration.</t>
  </si>
  <si>
    <t>You must: follow the organic conversion plan for the land entered into this action and associated livestock, as approved and signed off by your organic control body comply with organic standards on land entered into this action from the start of organic conversion period until this action€™s end date complete organic conversion and register the land entered into this action as €˜fully organic€™ before this action€™s end date</t>
  </si>
  <si>
    <t>You must do this action from its start date, throughout each year of this action€™s duration until the land is registered as €˜fully organic€™.</t>
  </si>
  <si>
    <t>You must keep: a copy of the organic conversion plan approved and signed off by your organic control body a valid organic certificate and schedule for all land entered into this action this must cover at least the full period of this action€™s duration records to show the land is unimproved low input permanent grassland You must supply this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</si>
  <si>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GRH1, GRH6, HEF5, HEF6, WBD7, PRF2, CIPM1, CLIG3, CNUM1, CSAM1 SFI 2023 actions IPM1, LIG1, LIG2, NUM1, SAM1 CS options BE4, BE5, CT1, CT3, CT5, GS1, GS2, GS5, GS6, GS7, GS9, GS10, GS13, HS4, HS5, HS7, LH1, LH2, SW10, SW15, SW16, SW18, UP2, WD4, WD5, WD10, WD11, WT6, WT8, WT10, SP7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one of the following supplemental actions on land entered into this base action: SPM2: Keep native breeds on grazed habitats supplement (50-80%) SPM3: Keep native breeds on grazed habitats supplement (more than 80%)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</si>
  <si>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OFC2 - Organic conversion - unimproved permanent grassland</t>
  </si>
  <si>
    <t>UPL1</t>
  </si>
  <si>
    <t>Moderate livestock grazing on moorland</t>
  </si>
  <si>
    <t>This action€™s aim is that there€™s a moderate livestock density grazing on the moorland, so its habitat is maintained or enhanced alongside farming. The purpose of this is to: prevent expansion of areas of bare ground increase surface roughness reduce diffuse pollution improve water quality and flood risk management provide habitats for moorland species protect historic and archaeological features</t>
  </si>
  <si>
    <t>there€™s a moderate livestock density grazing on the moorland, so its habitat is maintained or enhanced alongside farming. T</t>
  </si>
  <si>
    <t xml:space="preserve"> prevent expansion of areas of bare ground increase surface roughness reduce diffuse pollution improve water quality and flood risk management provide habitats for moorland species protect historic and archaeological features</t>
  </si>
  <si>
    <t>You can do this action on land located above the moorland line that€™s: an eligible land type (as defined in section 5.1 €˜Eligible land types for SFI €™ in the SFI scheme information) registered with an eligible land cover on your digital maps declared with a land use code which is compatible with the eligible land cover If a land parcel is located above and below the moorland line, you can enter it into this action if: most of the area is above the moorland line it€™s managed as one grazing unit with adjacent land parcels located above the moorland line Farmyards or land used for turf or peat production are not eligible for this action. Eligible land Eligible land type Eligible land cover Compatible land use code Permanent grassland Permanent grassland PG01 Non-agricultural areas, such as scrub, scree, bracken or bog Relevant non-agricultural land cover, such as scrub, scree, bracken or bog Relevant non-agricultural land use code to match land cover Eligibility of protected land Protected land Eligibility Sites of special scientific interest ( SSSIs ) Eligible you must get SSSI consent before you do this action. Read section 10.3€¯€˜ SSSI consent€™ in the SFI scheme information to find out about: - what it€™s advisable for you to do before you apply for this action on SSSI land - how to give notice to Natural England to get SSSI consent - what stocking information you need to provide with your SSSI notice Historic and archaeological features Eligible you must get a SFI HEFER before you do this action (read section 5.6€¯€˜Land with historic or archaeological features€™ in the SFI scheme information to find out how to do this) Available area you can enter into this action Total available area in a land parcel. Rotational or static action This action is static. This means you must do it at the same location each year of this action€™s duration.</t>
  </si>
  <si>
    <t>You must make sure that the livestock density across the land entered into this action does not exceed 0.16 grazing livestock units ( GLU ) per ha at any time. To convert livestock numbers into GLU , you must use the following values: Cattle over 2 years old at the start of an agreement year 1.0 GLU Cattle over 6 months to 2 years old at the start of an agreement year 0.6 GLU Heavy sheep (for example, most lowland sheep, rams and larger hill sheep) 0.12 GLU Light sheep (for example, store lambs and small hill sheep 0.08 GLU Goat 0.12 GLU Pony or donkey 0.8 GLU Horse 1.0 GLU Read the €˜advice to help you do this action€™ to find out how to calculate the livestock density. You must not carry out supplementary feeding of livestock on land entered into this action, apart from mineral licks. At the start of each year of this action€™s duration, you must produce a written stocking calendar for each land parcel entered into this action. The stocking calendar must show how you plan to meet this action€™s requirements. It must include: land parcel reference number and hectarage dates you plan to graze the land parcel during each calendar month monthly numbers of livestock which will graze the land parcel, including their type and age bracket If you manage several adjacent land parcels as one grazing unit, you can keep one stocking calendar for that grazing unit. You must include all the land parcel reference numbers which comprise that grazing unit. If something happens which means you cannot complete this action, you must tell the Rural Payments Agency about this in writing as soon as possible. For example, if there are fodder supply issues, so you need to increase the stocking level. Read section 13.2 €˜What you must do if you cannot comply with your agreement€™ in the SFI scheme information to find out how to do this.</t>
  </si>
  <si>
    <t>You must keep the required written stocking calendar and supply this evidence if we ask for it. It can be recorded on paper or electronically.</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</si>
  <si>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HEF5, UPL7, UPL8, UPL9, UPL10, CMOR1 SFI 2023 actions MOR1 CS options HS4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one of the following supplemental actions (unless indicated otherwise) on land entered into this action: UPL4: Keep cattle and ponies on moorland supplement (minimum 30% GLU ) you can also do SPM4 or SPM5 on the same area as UPL4 UPL5: Keep cattle and ponies on moorland supplement (minimum 70% GLU ) you can also do SPM4 or SPM5 on the same area as UPL5 UPL6: Keep cattle and ponies on moorland supplement (100% GLU ) you can also do SPM4 or SPM5 on the same area as UPL6 SPM4: Keep native breeds on extensively managed habitats supplement (50-80%) you can also do UPL4 or UPL5 or UPL6 on the same area as SPM4 SPM5: Keep native breeds on extensively managed habitats supplement (more than 80%) you can also do UPL4 or UPL5 or UPL6 on the same area as SPM5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</si>
  <si>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How to calculate the livestock density Once you€™ve converted your livestock numbers into GLU using the values shown under €˜What to do€™, you can use the Livestock grazing on moorland calculator to calculate the livestock density per ha. Grazing on moorland Cattle, sheep, and ponies graze in different ways. You can achieve greater environmental benefits if you graze the moorland with: a livestock species which has suitable grazing traits for the habitat type a suitable number of livestock for the habitat type, to avoid overgrazing or under grazing it Grazing traits: ponies Ponies: can graze swards very tight, and at low stocking densities can create a good structural mosaic have a strong preference for grasses and will graze long coarse grass, such as purple moor-grass are very adaptable grazers, and can graze bracken (particularly in the autumn) and gorse are less likely to graze heather over the winter months compared with sheep Grazing traits: cattle Cattle: graze on longer swards, and graze less selectively than sheep and on coarser forage, creating a more varied sward structure will graze lower quality forage such as purple moor-grass, particularly in the spring and early summer Cattle are more likely to cause poaching due to their size, particularly on wetter areas. You can remove them from the area over the winter months to reduce the risk of poaching. Grazing traits: sheep Sheep: can graze swards very tight are highly selective feeders at fine scale, often selecting young flowers and shoots are unlikely to eat long coarse grasses, such as purple moor-grass, if alternative food is available Sheep can cause a decline in dwarf shrub cover due to selective browsing, particularly when out over the winter months. You can reduce the risk of this happening by: removing all the sheep for the entire winter or part of the winter (€˜partial off-wintering€™) reducing sheep numbers during the winter months Grazing to maintain or enhance moorland habitat To help you achieve this action€™s aim, you can maintain or enhance the habitat on your moorland by grazing appropriately. This includes trying to avoid grazing on sensitive priority habitats, which may damage the habitat. You€™ll usually need to graze the following moorland habitats, as relevant: most grasslands fens and flushes most heathlands land with historic and archaeological features, to avoid causing damage from trees, bracken and scrub upland wood pasture Sensitive priority habitats which may be damaged by grazing include: most woodlands blanket bog mountain heath willow scrub fragmented upland heath that needs to be restored Neighbouring livestock If the area of moorland you enter into this action is unfenced and adjacent land is grazed by other farmers or land managers, you may need to: consider the potential impact of neighbouring livestock straying on your ability to meet this action€™s requirements, particularly the maximum livestock density threshold talk to neighbouring farmers or land managers about removing stray livestock from your area of moorland</t>
  </si>
  <si>
    <t>UPL1 - Moderate livestock grazing on moorland</t>
  </si>
  <si>
    <t>AHW3</t>
  </si>
  <si>
    <t>Beetle banks</t>
  </si>
  <si>
    <t>This action€™s aim is that there€™s an in-field raised grassy bank, with tussocky grass allowed to develop. The purpose of this is to: provide nesting and foraging habitats for ground-nesting birds, small mammals and insects help slow down or stop soil erosion support an integrated pest management approach if located close to cropped areas</t>
  </si>
  <si>
    <t>there€™s an in-field raised grassy bank, with tussocky grass allowed to develop. T</t>
  </si>
  <si>
    <t xml:space="preserve"> provide nesting and foraging habitats for ground-nesting birds, small mammals and insects help slow down or stop soil erosion support an integrated pest management approach if located close to cropped areas</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</si>
  <si>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Arable land used to grow crops Arable land Land use codes for arable crops or leguminous and nitrogen-fixing crops Temporary grassland Arable land TG01 Arable land lying fallow Arable land FA01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Ineligible you must not enter any area that contains an historic or archaeological feature into this action. This only affects the area where the feature is located in a land parcel. You can apply for this action on the remaining area in the land parcel if it€™s eligible. Available area you can enter into this action Part of the available area in a land parcel. Rotational or static action This action is static. This means you must do it at the same location each year of this action€™s duration.</t>
  </si>
  <si>
    <t>You must establish an in-field beetle bank by: creating a raised earth ridge sowing a mixture of fine-leaved grasses, such as red fescue, together with some tussock forming varieties like tall fescue, timothy and cocksfoot You can leave gaps of up to around 40m at each end of the beetle bank to allow machinery access. Once the grassy mix on the beetle bank is established, you must maintain it in a way that can reasonably be expected to achieve this action€™s aim. You must not apply: any fertilisers, manures or lime apply pesticides, except for herbicides to weed wipe or spot treat to control injurious weeds , invasive non-native species , or nettles You can maintain an existing beetle bank to get paid for this action if it: meets this action€™s requirements is not already being paid for under another environmental land management scheme option, such as Countryside Stewardship option AB3 (beetle banks)</t>
  </si>
  <si>
    <t>You must: establish the beetle bank within 12 months of this action€™s start date maintain the beetle bank throughout each subsequent year of this action€™s duration</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</si>
  <si>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OFC3, OFC4, OFM4, OFM5, AGF1, AGF2, PRF2, CIPM1, CNUM1, CSAM1 SFI 2023 actions IPM1, NUM1, SAM1 CS options OR3, OR4, OT3, OT4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</si>
  <si>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the right location This action: is suitable for most soil types, but especially where it is possible to form a free-draining raised bank (this will leave the upper bank area dry for insects to hibernate securely) works best on larger fields, as it€™s designed to provide the most benefit in more open landscapes can help to slow down or stop soil erosion You can spread beetle banks across your farm to help connect farmland wildlife with other farm habitats. Establishing the beetle bank To establish the beetle bank, you can create or maintain a raised earth ridge that€™s: around 3 metres (m) to 5m wide at least around 0.4m high To create a raised earth ridge, you can: plough up and down your field around 2 to 3 times (4 to 6 passes in total) complete a final, shallow cultivation of the bank to produce a firm and fine seedbed You can sow the grassy seed mixture by broadcasting it on to the seed bed. To keep moisture in the soil, you can roll it after sowing using an all-terrain vehicle. To minimise the risk of the beetle bank slumping you can avoid: overworking the bank using a heavy set of tractor-trailed Cambridge or flat rolls You may find it helpful to read the Game and Wildlife Conservation Trust (GWCT) guidance on beetle banks . Maintaining the grassy mix during establishment To help the grassy mix to establish, you can cut it several times during the first spring and summer after sowing. To reduce the risk of soil compacting, try to avoid cutting when the bank is wet. Maintaining the established grassy mix From the second spring and summer after sowing, you can cut: where woody species or invasive perennial weeds (such as creeping or spear thistle) are growing from August, to protect any nesting invertebrates and beneficial insects Enhancing banks for wildlife To enhance the benefits for wildlife, you can sow flower species in your seed mix such as: common knapweed field scabious oxeye daisy wild carrot yarrow If you plant woody shrubs and low growing trees around every 20 metres (m) to 30m, this can provide: important flower-rich foraging habitat for wild pollinators in the spring berries and fruits for farmland birds and other wildlife to feed on in the autumn and winter months important song posts for farmland birds (such as the corn bunting during the breeding season)</t>
  </si>
  <si>
    <t>AHW3 - Beetle banks</t>
  </si>
  <si>
    <t>PRF4</t>
  </si>
  <si>
    <t>Mechanical robotic weeding</t>
  </si>
  <si>
    <t>This action€™s aim is that mechanical robotic weeding technology is used to control weeds, so there€™s minimal use of herbicides. The purpose of this is to: improve productivity, water and soil quality increase biodiversity support an integrated pest management approach</t>
  </si>
  <si>
    <t>mechanical robotic weeding technology is used to control weeds, so there€™s minimal use of herbicides. T</t>
  </si>
  <si>
    <t xml:space="preserve"> improve productivity, water and soil quality increase biodiversity support an integrated pest management approach</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</si>
  <si>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eligible land cover It will not usually be possible for you to do this action on combinable crops. Eligible land Eligible land type Eligible land cover Compatible land use code Arable land used to grow crops, excluding temporary grassland Arable land Land use codes for arable crops or leguminous and nitrogen-fixing crops Arable land lying fallow Arable land FA01 Eligibility of protected land Land or features with protection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Total or part of the available area in a land parcel. Rotational or static action This action is rotational or static. This means you can either: move its location for the second and third years of this action€™s duration do it at the same location each year of this action€™s duration</t>
  </si>
  <si>
    <t>You must control weeds on land entered into this action using a mechanical robotic weeder that: weeds between and within the rows of one crop has camera or GPS-guided hoes which physically remove the weeds from the ground You must do this action on one crop from when it€™s sown until it€™s harvested. For the purposes of this action, a crop includes: root crops field vegetables and salad crops soft fruit crops which do not occupy the land for 5 years or more and provide repeated harvests (also known as €˜permanent crops€™) You can choose which crop to do this action on, but it must be a €˜cash crop€™. This means it€™s a crop grown to be harvested for commercial use. You can apply residual herbicides to the crop before the sown crop plants or weeds emerge (€˜pre-emergence€™). This can be at the same time the crop is established (drilled or planted) or within a few days of establishment. €˜Residual€™ herbicides are long-lasting selective herbicides which control certain weed species without harming the crop. You must not use any other herbicides on the crop from when it€™s sown until it€™s harvested.</t>
  </si>
  <si>
    <t>You must do this action on at least one crop that€™s sown during each year of this action€™s 3-year duration. You can harvest it in a subsequent year of this action€™s duration if you sow the next crop for this action in the same year. This means you must do this action on a crop that€™s sown during: the first year of this action€™s duration you can harvest it in the second year of this action€™s duration the second year of this action€™s duration you can harvest it in the third year of this action€™s duration the third year of this action€™s duration you must do this action until you harvest that crop or this action€™s end date, whichever is earlier If you€™re already growing a crop on the land entered into this action when this action starts, you must do this action on a crop that€™s sown within 12 months of this action€™s start date.</t>
  </si>
  <si>
    <t>You must keep evidence to show what you€™ve done to complete this action, such as: data from the tractor€™s job recording system identifying the mechanical robotic weeder, the date and areas weeded field operations at a land parcel level, including the land parcel reference number and the dates the crop was sown and harvested contractor€™s invoice if you use a contractor to do this action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</si>
  <si>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AHW5, AHW6, AHW7, AHW8, AHW9, AHW10, OFA1, OFA6, OFC3, OFM4, SOH4, AGF1, AGF2, PRF1, PRF2, SOH1, SOH2, SOH3, CAHL2, CIPM1, CIPM3, CIPM4, CNUM1, CSAM1, CSAM2 SFI 2023 actions AHL2, IPM1, IPM3, IPM4, NUM1, SAM1, SAM2 CS options AB2, AB5, AB6, AB7, AB10, AB14, HS3, HS9, SW5, SW6, SW12, OP1, OP2, OP4, OP5, OR3, OT3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</si>
  <si>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Using mechanical robotic weeding equipment The mechanical robotic weeding equipment you use can be either tractor mounted or autonomous. You may be able to get funding for this equipment through the Farming Equipment and Technology Fund ( FETF ).</t>
  </si>
  <si>
    <t>PRF4 - Mechanical robotic weeding</t>
  </si>
  <si>
    <t>HEF2</t>
  </si>
  <si>
    <t>Maintain weatherproof traditional farm or forestry buildings in remote areas</t>
  </si>
  <si>
    <t>per square metre (m 2 ) per year you must only include the area of the building€™s ground floor, not any area from other floors or areas outside the building. You€™ll enter the hectarage equivalent of the building€™s ground floor m 2 in your SFI application. Divide the m 2 area by 10,000 to convert it into hectares.</t>
  </si>
  <si>
    <t>This action€™s aim is that there are: traditional farm or forestry buildings maintained in good condition where relevant, preserved and accessible features used by bats, owls and kestrels The purpose of this is to: enhance the local landscape preserve places for wildlife</t>
  </si>
  <si>
    <t>there are: traditional farm or forestry buildings maintained in good condition where relevant, preserved and accessible features used by bats, owls and kestrels T</t>
  </si>
  <si>
    <t xml:space="preserve"> enhance the local landscape preserve places for wildlife</t>
  </si>
  <si>
    <t>To be eligible for this action, the traditional farm or forestry building, or parts of a building, must: be at least 400m from the main farmstead by the shortest practicable route, be at least 200m from a metalled public road this means it€™s got a hard surface, such as asphalt, concrete, paving stones, bricks or cobbles have been built using traditional methods, such as timber, brick, stone, tile or slate have been built before 1940 for agricultural or forestry use, such as housing machinery or animals, or storing crops or processing crops, food or forest products still be in agricultural or forestry use on your farm or land holding, whether or not this was the original use be in good condition this means the fabric of the building is intact, so it€™s weatherproof You must have management control of the eligible farm or forestry building for the 3-year duration of this action. You cannot do this action if the building: is a metal-framed Dutch barn was constructed as a dwelling is a farmhouse, residential or domestic building Eligibility of protected land Protected land Eligibility Sites of special scientific interest ( SSSIs ) Not applicable Historic and archaeological features Eligible you must get a SFI HEFER before you do this action (read section 5.6€¯€˜Land with historic or archaeological features€™ in the SFI scheme information to find out how to do this) Available area you can enter into this action Not applicable, as you€™ll enter the area in m 2 . Rotational or static action This action is static. This means you must do it at the same location each year of this action€™s duration.</t>
  </si>
  <si>
    <t xml:space="preserve"> Completing a visual building maintenance assessment Completing this action€™s visual building maintenance assessment   as often as possible each year will help you to keep the building weatherproof. Areas that may need routine maintenance work or minor repairs may include, for example: blocked downpipes and gutters broken or slipped slates, tiles or glass pointing on walls the condition of paintwork barriers to wildlife access vegetation that needs clearing You can use the Countryside Stewardship: building maintenance plan and log form to help you complete the assessment, but it€™s not part of this SFI action€™s requirements. Carrying out routine maintenance work and minor repairs Routine maintenance work and minor repairs may include activities such as: clearing gutters from debris and leaves fixing slipped slate or broken roofing slates and tiles to prevent rainwater penetration renewing cast iron gutters and drainpipes replacing broken glass repainting woodwork and metalwork repointing walls clearing vegetation You may find it helpful to read Historic England€™s €˜The Maintenance and Repair of Traditional Farm Buildings a guide to Good Practice€™ . Completing a visual building wildlife assessment You can use the Countryside Stewardship: building wildlife assessment form to help you complete the visual building wildlife assessment, but it€™s not part of this SFI action€™s requirements.</t>
  </si>
  <si>
    <t>HEF2 - Maintain weatherproof traditional farm or forestry buildings in remote areas</t>
  </si>
  <si>
    <t>BFS3</t>
  </si>
  <si>
    <t>Buffer in-field ponds on improved grassland</t>
  </si>
  <si>
    <t>per hectare calculate the hectarage by: measuring the length of the buffer strip in metres (m) multiplying that length by the relevant width (10m to 20m) to give the area in m 2 dividing that area by 10,000 to convert it into ha</t>
  </si>
  <si>
    <t>This action€™s aim is that there€™s a wide grass buffer strip around a pond that: has an intact grass sward throughout the year, without tracks and compacted areas is left to develop a mix of tussocky grasses, flowering plants and low scrub has minimal poaching by livestock The purpose of this is to: protect ponds from nutrient leaching and sediment runoff help improve water quality provide a habitat for wildlife</t>
  </si>
  <si>
    <t>there€™s a wide grass buffer strip around a pond that: has an intact grass sward throughout the year, without tracks and compacted areas is left to develop a mix of tussocky grasses, flowering plants and low scrub has minimal poaching by livestock T</t>
  </si>
  <si>
    <t xml:space="preserve"> protect ponds from nutrient leaching and sediment runoff help improve water quality provide a habitat for wildlife</t>
  </si>
  <si>
    <t>You can do this action on agricultural land located below the moorland line that€™s: adjacent to a pond an eligible land type (as defined in section 5.1 €˜Eligible land types for SFI €™ in the SFI scheme information) at the start of this action€™s duration, if the land type changes because of this action, it will not affect eligibility (for example, allowing scrub to develop) registered with an eligible land cover on your digital maps declared with a land use code which is compatible with the eligible land cover You cannot do this action around ponds associated with industrial features, such as effluent ponds, balancing ponds or small water supply reservoirs. Eligible land Eligible land type Eligible land cover Compatible land use code Temporary grassland Arable land TG01 Improved permanent grassland Permanent grassland PG01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Ineligible you must not enter any area with an historic or archaeological feature into this action. This only affects the area where the feature is located in a land parcel. You can apply for this action on the remaining area in the land parcel if it€™s eligible. Available area you can enter into this action Total or part of the available area in a land parcel. Rotational or static action This action is static. This means you must do it at the same location each year of this action€™s duration.</t>
  </si>
  <si>
    <t>You must establish and maintain a grass strip around a pond that: is at least 10m wide and up to 20m wide (on average in each land parcel) it can be more than 20m wide, but you€™ll only be paid for the 20m width extends between the pond edge and the edge of the improved grassland The grass strip does not need to surround the entire pond. You can choose how much of the pond to buffer. To establish the grass strip, you must allow the area entered into this action to regenerate naturally. Once it€™s established, you must manage it in a way that can reasonably be expected to achieve this action€™s aim. You must make sure the grass strip is in addition to any regulatory requirements relating to buffer strips. You must not: cut the grass strip, except to prevent scrub from developing on more than half of its area cut the grass strip during the bird breeding season, as birds, nests and eggs are protected by law let livestock poach more than a third of the grass strip apply fertilisers or manures apply pesticides, except for herbicides to weed wipe or spot treat to control injurious weeds , invasive non-native species , or nettles You can maintain an existing grass strip to get paid for this action if it: meets this action€™s requirements is not already being paid for under another environmental land management scheme option, such as Countryside Stewardship ( CS ) option WT1 (buffering in-field ponds and ditches in improved grassland)</t>
  </si>
  <si>
    <t>You must: establish the grass strip within the first 12 months of this action€™s duration maintain the grass strip throughout each subsequent year of this action€™s duration How to do it It€™s up to you how you do this action, as long as you: follow this action€™s requirements these are identified by a €˜must€™ do the action in a way that could reasonably be expected to achieve this action€™s aim</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</si>
  <si>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OFC1, OFM1, AGF1, AGF2, PRF2, CIPM1, CNUM1, CSAM1 SFI 2023 actions IPM1, NUM1, SAM1 CS options SW15, SW16, OR1, OT1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</si>
  <si>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BFS3 - Buffer in-field ponds on improved grassland</t>
  </si>
  <si>
    <t>CMOR1</t>
  </si>
  <si>
    <t>Assess moorland and produce a written record</t>
  </si>
  <si>
    <t>per hectare and £272 per SFI agreement per year</t>
  </si>
  <si>
    <t>This action€™s aim is that you understand how your moorland contributes to providing environmental benefits and how it could provide more in the future.</t>
  </si>
  <si>
    <t>you understand how your moorland contributes to providing environmental benefits and how it could provide more in the future.</t>
  </si>
  <si>
    <t>You can do this action on land located above the moorland line that€™s: an eligible land type (as defined in section 5.1 €˜Eligible land types for SFI €™ in the SFI scheme information) registered with an eligible land cover on your digital maps declared with a land use code which is compatible with the eligible land cover You cannot enter land above the moorland line into this action if: it€™s a farmyard it€™s used for turf or peat production the majority of its area is located below the moorland line it€™s permanent grassland below the moorland line Eligible land Eligible land type Eligible land cover Compatible land use code Moorland Permanent grassland PG01 Non-agricultural areas, such as scrub, scree, bracken and bog Relevant non-agricultural land cover Relevant land use codes for non-agricultural land Eligibility of protected land Protected land Eligibility Sites of special scientific interest ( SSSIs ) Eligible you do not need to get SSSI consent for this action Historic and archaeological features Eligible you must get a SFI HEFER before you do this action (read section 5.6€¯€˜Land with historic or archaeological features€™ in the SFI scheme information to find out how to do this) Available area you can enter into this action Total available area in a land parcel. Rotational or static action This is a static action. This means you must do it at the same location each year of this action€™s duration.</t>
  </si>
  <si>
    <t>You must complete a survey to identify, assess and record the soil, vegetation and historic and archaeological features across the moorland area entered into this action. To complete the survey, you must: divide the moorland area you enter into this action into blocks of around 10ha select a sample point within each 10ha block that€™s broadly representative of the block€™s main vegetation and soil types At each sample point, you must identify, assess and record: soil types and condition, including the depth and wetness of any peat vegetation types and condition, including their height and structure the extent of bare ground the presence of historic and archaeological features these will be identified in your SFI HEFER You must use the information you€™ve collected during your survey of the moorland to identify and record: environmental benefits the moorland is already providing opportunities to maintain, enhance or restore the moorland to keep providing environmental benefits or provide more These environmental benefits include carbon storage, water storage and flow, biodiversity and heritage. You can use a survey you€™ve previously done of your moorland to get paid for this action if it: meets the requirements explained in this action was done in the last 12 months</t>
  </si>
  <si>
    <t>Within 12 months of this action€™s start date you must: survey and record the required information for one sample point in each 10ha block of the moorland use the information from the survey to assess and record the environmental benefits the moorland already provides use this information to produce a record of opportunities to maintain or enhance the moorland to keep providing environmental benefits or provide more In each subsequent year of this action€™s duration, you must: repeat the survey at a different sample point within each 10ha block, trying to do this at about the same time each year use the further surveys to review your record of the environmental benefits the moorland already provides review your record of the opportunities to maintain, enhance or restore the moorland to keep providing environmental benefits or provide more</t>
  </si>
  <si>
    <t>You must keep a written record of your: survey of the moorland assessment of the environmental benefits the moorland is already providing assessment of opportunities to maintain, enhance or restore the moorland to keep providing environmental benefits or provide more You must supply this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</si>
  <si>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HEF5, HEF6, HEF8, OFM3, UPL1, UPL2, UPL3, UPL7, UPL8, UPL9, UPL10 (if located above the moorland line) SFI 2023 actions None CS options All CS management options (if located above the moorland line) ES options All ES revenue options (if located above the moorland line) SFI pilot standards No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and BND2 SFI 2023 actions: HRW1, HRW2, HRW3 CS option BE3 (management of hedgerows) the introductory level of the SFI pilot hedgerows standard</t>
  </si>
  <si>
    <t xml:space="preserve"> How to record your moorland survey You can record your survey digitally or on paper. You may also want to take photographs of the vegetation you assess and the surrounding area. When to do the survey The best time to survey moorland is between mid-July and the end of October. This avoids the main bird breeding season (March to mid-July). Birds, nests and eggs are protected by law , so if you see signs of nesting birds, delay the survey until the birds fledge. Try to avoid doing the survey after periods of heavy or prolonged rainfall. How to divide your moorland into blocks To divide your moorland into blocks of around 10 hectares (ha), you may find it helpful to use: a paper or digital Ordnance Survey (OS) map that€™s a scale of 1:10,000 or 1:25,000 and shows contours you can overlay the OS map with a grid to divide the moorland into rectangular blocks the MAGIC website you can zoom in to a scale of 1:25000 or 1:10000 to see 10ha squares covering all land within the moorland line How to select sample points within the blocks This action requires you to repeat the survey at a different sample point within each 10ha block each year of the action€™s 3-year duration. Before you do your initial survey, it will help if you: divide each 10ha block into 3 smaller areas select a sample point within each of the 3 smaller areas that broadly represents the main soil types and vegetation within the 10ha block so there are 3 sample points in each 10ha block give each sample point a number on the OS map, so you can identify where your observations were taken Choose sample points that you can safely access to complete the survey each year. Carrying out your survey At each sample point, you can record its number on the OS map, and take a short walk around the area to identify, assess and record what€™s required by this action. How to identify soil types and assess depth of peat Soil types include non-peat, shallow peat and deep peat. To assess the soil type, and depth of any peat, you can use a thin rod or cane to probe the soil. You may find it helpful to mark the rod or cane with measurements from its base. For example, 5 centimetres (cm), 10cm, 25cm, 30cm and 40cm. You can push the rod or cane into the soil until you feel resistance or to a depth of more than 40cm. If it meets resistance at a depth of: less than 5cm, record the soil type as non-peat between 5cm and 40cm, record the soil type as shallow peat more than 40cm, record the soil type as deep peat If there is existing data available on the presence of peat and its depth, you can use this as an alternative to probing the soil. Try to avoid probing the soil on areas with historic or archaeological features, as identified on your SFI HEFER . How to assess the wetness of peat The wetness of peat soils can affect the environmental benefits (carbon storage) your moorland provides. If you€™ve identified the soil type as shallow or deep peat, you can assess its wetness by: visually looking at the area probing the soil with the same thin rod or cane you used to assess the depth of peat You can record it as: dry or firm peat, if no peat sticks to your thin rod or cane you can also record it as an opportunity to restore environmental benefits (carbon storage) moist peat, if the area looks damp on the surface and your thin rod or cane is moist when you remove it from the peat you can also record it as an opportunity to enhance the environmental benefits (carbon storage) wet peat, if there€™s standing water, or water appears when you press the peat with your foot you can also record it as already providing environmental benefits (carbon storage) which you can maintain How to assess the roughness of the ground surface The roughness of the ground surface can affect the environmental benefits (storage and water flow) your moorland provides. A rough ground surface helps to: allow more water to evaporate or infiltrate the soil slow the flow of water by holding it back from watercourses To assess the roughness of the ground surface, you can walk around the sample point and record if there is: smooth grass, bare ground or carpet moss you can also record that this is an opportunity to restore environmental benefits (storage and flow of water) no or sparse bare ground, with at least the occasional hummocks of moss you can also record that this is an opportunity to enhance environmental benefits (storage and flow of water) frequent hummocks of moss or tussocks or grass or bracken you can also record that this means environmental benefits (storage and flow of water) are already being provided, which you can maintain How to assess the extent of bare ground Bare ground is prone to erosion and can emit CO2 to the atmosphere as organic matter decomposes. This can affect the environmental benefits (carbon storage) your moorland provides. To assess the extent of bare ground, you can look at the overall position across the sample point and record if there are: mainly large, obvious patches of bare peat or soil you can also record that this as an opportunity to restore environmental benefits (carbon storage) small patches (less than around 20cm) of bare ground amongst thin or newly established vegetation you can also record that this as an opportunity to enhance environmental benefits (storage) no obvious patches of bare peat or soil also record that this means environmental benefits (carbon storage) are already being provided, which you can maintain How to assess the extent of soil erosion Soil erosion can affect the environmental benefits (clean water) your moorland provides. You can identify: obvious signs of soil erosion, such as rills and gullies on exposed areas, particularly if they€™re linked to water bodies erosion features, such as vehicle tracks and footpaths, as they can concentrate water flow on steep slopes To assess the extent of erosion, you can look at the overall position around the sample point and record: large obvious patches of actively eroding bare peat or soil you can also record that this is an opportunity to restore environmental benefits (clean water) small obvious patches of bare peat or soil you can also record that this as an opportunity to enhance environmental benefits (clean water) no obvious patches of bare ground or erosion you can also record that this means environmental benefits (clean water) are already being provided, which you can maintain How to assess vegetation on peat soils On peat soils, you can look at the overall position across the sample point and record the presence of: peat-forming bog mosses, which hold water and are important to the formation of peat other peatland plants For bog mosses, you can record if they are: absent or sparse you can also record that this is an opportunity to restore environmental benefits (carbon capture, clean water, water storage and flow, biodiversity) present in patches you can also record that this is an opportunity to enhance environmental benefits (carbon capture, clean water, water storage and flow, biodiversity) abundant you can also record that this means that environmental benefits (carbon capture, clean water, water storage and flow, biodiversity) are already being provided, which can be maintained For other peatland plants, you can record if there is: vegetation dominated by heather, bilberry, grass, bracken or moss (not bog moss) you can also record that this is an opportunity to restore environmental benefits (biodiversity) mix of heather, bilberry, grass and mosses, with no clearly dominant vegetation you can also record that this is an opportunity to enhance environmental benefits (biodiversity) an abundance of peatland plants, such as cotton-grass, bog moss, cranberry and crowberry you can also record that this means that environmental benefits (biodiversity) are already being provided, which can be maintained How to assess vegetation on non-peat soils On non-peat soils, you can look at the overall position across the sample point and record the presence of: taller, woody vegetation, such as heather, other dwarf shrubs, gorse, other scrub and scattered trees these can contribute to carbon storage on your moorland tall or deep-rooted vegetation, such as tall and tussocky grasses, bracken, dwarf shrubs (for example, heather), scrub and scattered trees these can slow the flow of water over the ground grassy or non-grassy (such as, dwarf shrubs) vegetation the structure of this can affect how the moorland provides habitat for different species To estimate the average height of the vegetation, you can use the same thin rod or cane you used to assess the depth of peat. For taller, woody vegetation, you can record if there is: bare ground or vegetation mostly below around 10cm high you can also record this as an opportunity to restore environmental benefits (carbon capture) vegetation mostly below around 30cm high you can also record this as an opportunity to enhance environmental benefits (carbon capture) vegetation mostly over around 30cm high you can also record that this means environmental benefits (carbon capture) are already being provided, which you can maintain For tall or deep-rooted vegetation, you can record if there is: bare ground or vegetation mostly below around 5cm high you can also record that this is an opportunity to restore environmental benefits (water storage and flow) vegetation most below around 25cm high you can also record that this is an opportunity to enhance environmental benefits (water storage and flow) vegetation mostly over around 25cm high you can also record that this means environmental benefits (water storage and flow) are already being provided, which can be maintained For grassy vegetation (areas with more than around 75% grass or herb cover), you can record if there is: uniform short vegetation that€™s less than around 5cm high you can also record this as an opportunity to restore environmental benefits (biodiversity) mostly shorter vegetation that€™s less than around 10cm high you can also record that this is an opportunity to enhance environmental benefits (biodiversity) a mix of heights with a variation of at least around 10cm between tall and short patches you can also record that this means environmental benefits (biodiversity) are already being provided, you can maintain For non-grassy vegetation (areas with more than around 25% cover of dwarf shrubs), you can record if there is: vegetation of a similar height you can record this as an opportunity to restore environmental benefits (biodiversity) a mix of vegetation heights, with tussocks or tall vegetation over 30cm - you can record this as an opportunity to enhance environmental benefits (biodiversity) a wide range of vegetation heights including some tall vegetation over 50cm you can record that this means environmental benefits (biodiversity) are already being provided, which can be maintained How to identify the presence of historic and archaeological features You can use your SFI HEFER to identify historic or archaeological features on, under or around the sample point. You can also record any of these features that you know of, or observe, which are not on your SFI HEFER . You can record any risks to the condition of historic or archaeological features, such as: the presence of any trees, scrub or bracken on or next to the feature any activity by livestock on or next to the feature that disturbs the soil, causes erosion or compacts the ground land management practices that disturb the soil, cause erosion or compact the ground, such as use of vehicle tracks or heavy machinery burrowing animals, such as badgers or rabbits Additional features you can choose to record There may be additional features within around the sample point (for example, within 100m) that could affect the environmental benefits the moorland provides, such as: trees and scrub you can record these as none, scattered trees/saplings and/or scrub, dense scrub, woodland or a mix of trees/scrub/woodland bracken you can record this as none, more than 50% canopy cover with some litter, more than 50% canopy cover with dense litter drains and gullies you can record these as none, channels mainly bare along base, channel base more than 50% vegetation, channel is blocked rock and scree you can record as none, rock outcrops (for example, crags and tors), scree and boulder fields, limestone pavement Identifying environmental benefits provided by your moorland The environmental benefits your moorland can provide include: carbon storage and capture, to offset the effects of climate change clean water, to maintain or enhance water quality water storage and flow, to reduce the effects of flooding and drought biodiversity, to protect plants and wildlife heritage, to protect historic and archaeological features You can use the information you€™ve collected during your survey to identify and record the environmental benefits your moorland is already providing. For each element you have surveyed (for example, roughness of ground), you can add up the total number of sample points you€™ve recorded as: already providing the relevant environmental benefit having an opportunity to enhance the relevant environmental benefit having an opportunity to restore the relevant environmental benefit If the greatest number of sample points for the environmental benefit and the element surveyed have been recorded as: already providing it, you can maintain it by continuing with your current management practices having an opportunity to enhance or restore it, you can identify what potential opportunities there are to change your management practices in future The table below shows an example of how you could do this. Environmental benefit Survey element Sample points - already providing Sample points - opportunity to enhance Sample points - opportunity to restore Overall assessment Carbon storage Extent of bare ground 13 0 0 Already providing, maintain Carbon storage Peat wetness 3 3 3 Enhance Water storage and flow Roughness of ground surface 11 1 1 Enhance Water storage and flow Bog mosses 1 3 5 Restore Future management practices you could consider This action does not require you to make any changes to your management practices on the moorland. At this stage, you are just considering what you could do in the future to help enhance or restore the environmental benefits provided by your moorland. Some examples of what you could consider doing include: reviewing grazing management to maintain vegetation and allow bare areas to revegetate this could help to reduce the extent of bare ground and provide carbon storage reviewing livestock management practices or managing water drainage, for example block grips and gullies, to break up waterflow pathways and reduce the amount and energy of flowing water this could help to reduce the extent of erosion and improve water quality reviewing livestock or vegetation management practices to increase the average height and variation in heights of vegetation this could help to increase the roughness of the ground surface and improve storage and flow of water</t>
  </si>
  <si>
    <t>CMOR1 - Assess moorland and produce a written record</t>
  </si>
  <si>
    <t>BFS4</t>
  </si>
  <si>
    <t>Protect in-field trees on arable land</t>
  </si>
  <si>
    <t>This action€™s aim is that there€™s an uncultivated, naturally regenerated grass buffer which: is around an in-field tree on arable land has minimal weeds and bare ground The purpose of this is to: protect the tree roots from damage by agricultural cultivation retain the trees as important features in the local landscape provide standing and fallen deadwood habitats for invertebrates</t>
  </si>
  <si>
    <t>there€™s an uncultivated, naturally regenerated grass buffer which: is around an in-field tree on arable land has minimal weeds and bare ground T</t>
  </si>
  <si>
    <t>To be eligible for this action, the tree can be dead or alive. It must: be in-field have a trunk that€™s at least 30 centimetres (cm) diameter at around 1.5 metres (m) above ground level (also known as diameter breast height) not be part of a group or line of 4 or more trees with overlapping canopies You can do this action on eligible trees on agricultural land located below the moorland line that€™s: an eligible land type (as defined in section 5.1 €˜Eligible land types for SFI €™ in the SFI scheme information) at the start of this action€™s duration, if the land type changes because of this action, it will not affect eligibility (for example, allowing scrub to develop) registered with an eligible land cover on your digital maps declared with a land use code which is compatible with the eligible land cover Eligible land Eligible land type Eligible land cover Compatible land use code Arable land used to grow crops Arable land Land use codes for arable crops or leguminous and nitrogen-fixing crops Temporary grassland Arable land TG01 Arable land lying fallow Arable land FA01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Part of the available area in a land parcel. Rotational or static action This action is static. This means you must do it at the same location each year of this action€™s duration.</t>
  </si>
  <si>
    <t>You must: allow a naturally regenerated grass buffer to establish around the in-field tree protect the tree from damage by livestock and wild animals make sure tree guards do not damage growing trees The grass buffer area around the in-field tree must be wide enough that it can reasonably be expected to protect the tree€™s roots. The width that€™s likely to achieve this will depend on the tree€™s diameter breast height ( DBH ). This means the grass buffer around the in-field tree will usually be at least: 10m if the tree€™s DBH is 30cm to 99cm which means the area per tree will be 0.03ha 20m if the tree€™s DBH is 100cm to 199cm which means the area per tree will be 0.12ha 30m if the tree€™s DBH is 200cm or more which means the area per tree will be 0.28ha Once the grass buffer is established, you must maintain it in a way that can reasonably be expected to achieve this action€™s aim. You must not: plough, cultivate, re-seed, harrow or roll apply any fertilisers, manures or lime apply pesticides, except for herbicides to weed wipe or spot treat to control injurious weeds , invasive non-native species , or nettles carry out supplementary feeding in a way that causes poaching on the grass buffer remove any tree limbs, including lower limbs or mature ivy growth You can maintain an existing grass buffer around an in-field tree to get paid for this action if it: meets this action€™s requirements is not already being paid for under another environmental land management scheme option, such as Countryside Stewardship option BE1 (protection of in-field trees on arable land)</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</si>
  <si>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OFC3, OFC4, OFM4, OFM5, PRF2, CIPM1, CNUM1, CSAM1 SFI 2023 actions IPM1, NUM1, SAM1 CS options OR3, OR4, OT3, OT4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</si>
  <si>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Leaving fallen branches If there are any fallen tree limbs (branches), this action requires you to not remove them from the area. Dead wood can provide: sources of food and shelter for a wide range of wildlife nutrients to the soil as it decays To benefit wildlife and help the wood decay, you can leave the fallen branches uncut and stack them in piles: in a mix of sunny and shady areas not too high, to stop the timber drying out with as much timber as possible in contact with the ground</t>
  </si>
  <si>
    <t>BFS4 - Protect in-field trees on arable land</t>
  </si>
  <si>
    <t>OFM2</t>
  </si>
  <si>
    <t>Organic land management unimproved permanent grassland</t>
  </si>
  <si>
    <t>This action€™s aim is that unimproved grassland, including rough grazing, is maintained under organic management. The purpose of this is to: improve soil health increase biodiversity improve water quality</t>
  </si>
  <si>
    <t>unimproved grassland, including rough grazing, is maintained under organic management. T</t>
  </si>
  <si>
    <t>You can do this action on agricultural land located below the moorland line that€™s: registered as €˜fully organic€™ by a Defra-licensed organic control body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Unimproved low input permanent grassland, including rough grazing Permanent grassland PG01 Eligibility of protected land Land or features with protection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Total available area in a land parcel. Rotational or static action This action is static. This means you must do it at the same location each year of this action€™s duration.</t>
  </si>
  <si>
    <t>You must keep: a valid organic certificate and schedule for all land entered into this action this must cover at least the full period of this action€™s duration records to show the land is unimproved low input permanent grassland or rough grazing You must supply this evidence if we ask for it.</t>
  </si>
  <si>
    <t>OFM2 - Organic land management - unimproved permanent grassland</t>
  </si>
  <si>
    <t>UPL3</t>
  </si>
  <si>
    <t>Limited livestock grazing on moorland</t>
  </si>
  <si>
    <t>This action€™s aim is that there€™s a limited livestock density grazing on the moorland, so its habitat is maintained or enhanced alongside farming. The purpose of this is to: prevent expansion of areas of bare ground increase surface roughness reduce diffuse pollution improve water quality and flood risk management provide habitats for moorland species protect historic and archaeological features</t>
  </si>
  <si>
    <t>there€™s a limited livestock density grazing on the moorland, so its habitat is maintained or enhanced alongside farming. T</t>
  </si>
  <si>
    <t>You can do this action on land located above the moorland line that€™s: an eligible land type (as defined in section 5.1 €˜Eligible land types for SFI €™ in the SFI scheme information) registered with an eligible land cover on your digital maps declared with a land use code which is compatible with the eligible land cover If a land parcel is located above and below the moorland line, you can enter it into this action if: most of the area is above the moorland line it€™s managed as one grazing unit with adjacent land parcels located above the moorland line Farmyards or land used for turf or peat production are not eligible for this action. Eligible land Eligible land type Eligible land cover Compatible land use code Permanent grassland Permanent grassland PG01 Non-agricultural areas, such as scrub, scree, bracken or bog Relevant non-agricultural land cover, such as scrub, scree, bracken or bog Relevant non-agricultural land use code to match land cover Eligibility of protected land Protected land Eligibility Sites of special scientific interest ( SSSIs ) Eligible you must get SSSI consent before you do this action. Read section 10.3 €˜ SSSI consent€™ in the SFI scheme information to find out about: - what it€™s advisable for you to do before you apply for this action on SSSI land - how to give notice to Natural England to get SSSI consent - what stocking information you need to provide with your SSSI notice Historic and archaeological features Eligible you must get a SFI HEFER before you do this action (read section 5.6€¯€˜Land with historic or archaeological features€™ in the SFI scheme information to find out how to do this) Available area you can enter into this action Total available area in a land parcel. Rotational or static action This action is static. This means you must do it at the same location each year of this action€™s duration.</t>
  </si>
  <si>
    <t>You must make sure that the livestock density across the land entered into this action does not exceed 0.04 grazing livestock units ( GLU ) per ha at any time. To convert livestock numbers into GLU , you must use the following values: Cattle over 2 years old at the start of an agreement year 1.0 GLU Cattle over 6 months to 2 years old at the start of an agreement year 0.6 GLU Heavy sheep (for example, most lowland sheep, rams and larger hill sheep) 0.12 GLU Light sheep (for example, store lambs and small hill sheep) 0.08 GLU Goat 0.12 GLU Pony or donkey 0.8 GLU Horse 1.0 GLU Read the €˜advice to help you do this action€™ to find out how to calculate the livestock density. You must not carry out supplementary feeding of livestock on land entered into this action, apart from mineral licks. At the start of each year of this action€™s duration, you must produce a written stocking calendar for each land parcel entered into this action. The stocking calendar must show how you plan to meet this action€™s requirements. It must include: land parcel reference number and hectarage dates you plan to graze the land parcel during each calendar month monthly numbers of livestock which will graze the land parcel, including their type and age bracket If you manage several adjacent land parcels as one grazing unit, you can keep one stocking calendar for that grazing unit. You must include all the land parcel reference numbers which comprise that grazing unit. If something happens which means you cannot complete this action, you must tell the Rural Payments Agency ( RPA ) about this in writing as soon as possible. For example, if there are fodder supply issues, so you need to increase the stocking level. Read section 13.2 €˜What you must do if you cannot comply with your agreement€™ in the SFI scheme information to find out how to do this.</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</si>
  <si>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 SFI 2024 actions HEF5, UPL7, UPL8, UPL9, UPL10, CMOR1 SFI 2023 actions MOR1 CS options HS4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one of the following supplemental actions (unless indicated otherwise) on land entered into this action: UPL4: Keep cattle and ponies on moorland supplement (minimum 30% GLU ) you can also do SPM4 or SPM5 on the same area as UPL4 UPL5: Keep cattle and ponies on moorland supplement (minimum 70% GLU ) you can also do SPM4 or SPM5 on the same area as UPL5 UPL6: Keep cattle and ponies on moorland supplement (100% GLU ) you can also do SPM4 or SPM5 on the same area as UPL6 SPM4: Keep native breeds on extensively managed habitats supplement (50-80%) you can also do UPL4 or UPL5 or UPL6 on the same area as SPM4 SPM5: Keep native breeds on extensively managed habitats supplement (more than 80%) you can also do UPL4 or UPL5 or UPL6 on the same area as SPM5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</si>
  <si>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How to calculate the livestock density Once you€™ve converted your livestock numbers into GLU using the values shown under €˜What to do€™, you can use the Livestock grazing on moorland calculator to calculate the livestock density per ha. Grazing on moorland Cattle, sheep and ponies graze in different ways. You can achieve greater environmental benefits if you graze the moorland with: a livestock species which has suitable grazing traits for the habitat type a suitable number of livestock for the habitat type, to avoid overgrazing or under grazing it Grazing traits: ponies Ponies: can graze swards very tight, and at low stocking densities can create a good structural mosaic have a strong preference for grasses and will graze long coarse grass, such as purple moor-grass are very adaptable grazers, and can graze bracken (particularly in the autumn) and gorse are less likely to graze heather over the winter months compared with sheep Grazing traits: cattle Cattle: graze on longer swards, and graze less selectively than sheep and on coarser forage, creating a more varied sward structure will graze lower quality forage such as purple moor-grass, particularly in the spring and early summer Cattle are more likely to cause poaching due to their size, particularly on wetter areas. You can remove them from the area over the winter months to reduce the risk of poaching. Grazing traits: sheep Sheep: can graze swards very tight are highly selective feeders at fine scale, often selecting young flowers and shoots are unlikely to eat long coarse grasses, such as purple moor-grass, if alternative food is available Sheep can cause a decline in dwarf shrub cover due to selective browsing, particularly when out over the winter months. You can reduce the risk of this happening by: removing all the sheep for the entire winter or part of the winter (€˜partial off-wintering€™) reducing sheep numbers during the winter months Grazing to maintain or enhance moorland habitat To help you achieve this action€™s aim, you can maintain or enhance the habitat on your moorland by grazing appropriately. This includes trying to avoid grazing on sensitive priority habitats, which may damage the habitat. You€™ll usually need to graze the following moorland habitats, as relevant: most grasslands fens and flushes most heathlands land with historic and archaeological features, to avoid trees, bracken and scrub causing damage upland wood pasture Sensitive priority habitats which may be damaged by grazing include: most woodlands blanket bog mountain heath willow scrub fragmented upland heath that needs to be restored Where possible, try to avoid grazing on sensitive, priority habitats such as: most woodlands blanket bog mountain heath willow scrub fragmented upland heath that needs to be restored Neighbouring livestock If the area of moorland you enter into this action is unfenced and adjacent land is grazed by other farmers or land managers, you may need to: consider the potential impact of neighbouring livestock straying on your ability to meet this action€™s requirements, particularly the maximum livestock density threshold talk to neighbouring farmers or land managers about removing stray livestock from your area of moorland</t>
  </si>
  <si>
    <t>UPL3 - Limited livestock grazing on moorland</t>
  </si>
  <si>
    <t>HEF5</t>
  </si>
  <si>
    <t>Control scrub on historic and archaeological features</t>
  </si>
  <si>
    <t>This action€™s aim is that there€™s a well-managed, intact grass sward growing over the historic or archaeological feature throughout the year, with minimal scrub cover and bare ground. The purpose of this is to: protect historic and archaeological features reduce the risk of root damage to historic and archaeological features reduce diffuse pollution and soil erosion, depending on the site€™s location help maintain and conserve landscape character</t>
  </si>
  <si>
    <t>there€™s a well-managed, intact grass sward growing over the historic or archaeological feature throughout the year, with minimal scrub cover and bare ground. T</t>
  </si>
  <si>
    <t xml:space="preserve"> protect historic and archaeological features reduce the risk of root damage to historic and archaeological features reduce diffuse pollution and soil erosion, depending on the site€™s location help maintain and conserve landscape character</t>
  </si>
  <si>
    <t>You can do this action on land located above and below the moorland line that€™s: identified on your SFI Historic Environment Farm Environment Record ( HEFER ) as containing an historic or archaeological feature €“ you must get a SFI HEFER before you apply for this action got existing scrub cover on more than 5% of its area an eligible land type (as defined in section 5.1 €˜Eligible land types for SFI €™ in the SFI scheme information) registered with an eligible land cover on your digital maps declared with a land use code that€™s compatible with the eligible land cover Eligible land Eligible land type Eligible land cover Compatible land use code Permanent grassland Permanent grassland PG01 Scrub Scrub ungrazeable Notional scrub WO25 NF03 Eligibility of protected land Protected land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apply for this action (read section 5.6€¯€˜Land with historic or archaeological features€™ in the SFI scheme information to find out how to do this) Available area you can enter into this action Total or part of the available area in a land parcel. Rotational or static action This action is static. This means you must do it at the same location each year of this action€™s duration.</t>
  </si>
  <si>
    <t>You must manage the area containing the historic or archaeological feature in a way that can reasonably be expected to achieve this action€™s aim. This includes: maintaining an intact grass sward minimising bare ground and soil erosion removing around a quarter of the scrub during the autumn and winter months each year preventing and controlling scrub regrowth You must not: cut and remove scrub between early March and late September grub out stumps and roots plough, cultivate, re-seed, harrow or roll the area entered into this action carry out supplementary feeding on or within around 6m of the historic or archaeological feature locate vehicle or stock access routes within around 6m of the historic or archaeological feature (existing surfaced tracks can be used) Before you remove scrub or trees, you must get any relevant consents, permissions or licences. For example, you may need to apply for: a felling licence from the Forestry Commission a forestry environmental impact assessment ( EIA ) from the Forestry Commission an agriculture EIA €˜screening decision€™ from Natural England Read section 10 €˜Get all necessary regulatory consents, permissions and licences in place€™ in the SFI scheme information.</t>
  </si>
  <si>
    <t>You must keep evidence to show what you€™ve done to complete this action, such as: field operations at a land parcel level and associated invoices photographs of the historic or archaeological feature and the extent of scrub cover before you start doing this action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</si>
  <si>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OFC1, OFC2, OFM1, OFM2, OFM3, PRF2, UPL1, UPL2, UPL3, UPL7, UPL8, UPL9, UPL10, CIPM1, CNUM1, CMOR1, CSAM1 SFI 2023 actions IPM1, NUM1, MOR1, SAM1 CS options UP1, OR1, OR2, OT1, OT2, OT6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</si>
  <si>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Removing scrub You can remove scrub by: mowing flailing using a chainsaw or strimmer clearing by hand If possible, try to: remove all cut material from the site plan work so that extraction routes, bonfire sites, timber processing and storage sites are located away from the historic and archaeological features Controlling scrub regrowth You can control scrub regrowth using: livestock grazing machinery chemicals to treat roots</t>
  </si>
  <si>
    <t>HEF5 - Control scrub on historic and archaeological features</t>
  </si>
  <si>
    <t>OFC1</t>
  </si>
  <si>
    <t>Organic conversion improved permanent grassland</t>
  </si>
  <si>
    <t>This action€™s aim is that improved and semi-improved permanent grassland is converted from conventional management to organic management. The purpose of this is to increase the overall area of land registered and managed as organic.</t>
  </si>
  <si>
    <t>improved and semi-improved permanent grassland is converted from conventional management to organic management. T</t>
  </si>
  <si>
    <t>You can do this action on agricultural land located below the moorland line that€™s: registered as €˜in conversion€™ with a Defra-licensed organic control body an eligible land type (as defined in section 5.1 €˜Eligible land types for SFI €™ in the SFI scheme information) registered with an eligible land cover on your digital maps declared with a land use code which is compatible with the eligible land cover Land is not eligible for this action if you€™ve previously: registered it with an organic control body received organic conversion aid or funding for it Eligible land Eligible land type Eligible land cover Compatible land use code Improved permanent grassland Permanent grassland PG01 Semi-improved low input permanent grassland Permanent grassland PG01 Eligibility of protected land Land or features with protection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Total available area in a land parcel. Rotational or static action This action is static. This means you must do it at the same location each year of this action€™s duration.</t>
  </si>
  <si>
    <t>You must keep: a copy of the organic conversion plan approved and signed off by your organic control body a valid organic certificate and schedule for all land entered into this action this must cover at least the full period of this action€™s duration records to show the land is improved permanent grassland or semi-improved low input permanent grassland You must supply this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</si>
  <si>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BFS3, BFS5, BFS6, HEF5, HEF6, HEF8, WBD4, WBD5, WBD6, WBD7, WBD8, AGF1, AGF2, PRF1, PRF2, CIGL1, CIGL2, CIGL3, CLIG3, CIPM1, CNUM1, CNUM2, CSAM1, CSAM3 SFI 2023 actions IGL1, IGL2, IGL3, LIG1, LIG2, IPM1, NUM1, NUM2, SAM1, SAM3 CS options BE2, BE5, CT2, CT4, CT5, CT7, GS1, GS2, GS5, GS7, GS8, GS9, GS10, GS11, GS12, GS13, GS14, HS2, HS4, HS5, HS6, HS7, LH3, SW2, SW7, SW8, SW9, SW10, SW11, SW12, SW13, SW15, SW16, WD4, WD5, WD6, WD10, WD11, WD12, WT1, WT7, WT9, SP7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one of the following supplemental actions on land entered into this base action: SPM2: Keep native breeds on grazed habitats supplement (50-80%) SPM3: Keep native breeds on grazed habitats supplement (more than 80%)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</si>
  <si>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OFC1 - Organic conversion - improved permanent grassland</t>
  </si>
  <si>
    <t>UPL2</t>
  </si>
  <si>
    <t>Low livestock grazing on moorland</t>
  </si>
  <si>
    <t>This action€™s aim is that there€™s a low livestock density grazing on the moorland, so its habitat is maintained or enhanced alongside farming. The purpose of this is to: prevent expansion of areas of bare ground increase surface roughness reduce diffuse pollution improve water quality and flood risk management provide habitats for moorland species protect historic and archaeological features</t>
  </si>
  <si>
    <t>there€™s a low livestock density grazing on the moorland, so its habitat is maintained or enhanced alongside farming. T</t>
  </si>
  <si>
    <t>You must make sure that the livestock density across the land entered into this action does not exceed 0.08 grazing livestock units ( GLU ) per ha at any time. To convert livestock numbers into GLU , you must use the following values: Cattle over 2 years old at the start of an agreement year 1.0 GLU Cattle over 6 months to 2 years old at the start of an agreement year 0.6 GLU Heavy sheep (for example, most lowland sheep, rams and larger hill sheep) 0.12 GLU Light sheep (for example, store lambs and small hill sheep) 0.08 GLU Goat 0.12 GLU Pony or donkey 0.8 GLU Horse 1.0 GLU Read the €˜advice to help you do this action€™ to find out how to calculate the livestock density. You must not carry out supplementary feeding of livestock on land entered into this action, apart from mineral licks. At the start of each year of this action€™s duration, you must produce a written stocking calendar for each land parcel entered into this action. The stocking calendar must show how you plan to meet this action€™s requirements. It must include: land parcel reference number and hectarage dates you plan to graze the land parcel during each calendar month monthly numbers of livestock which will graze the land parcel, including their type and age bracket If you manage several adjacent land parcels as one grazing unit, you can keep one stocking calendar for that grazing unit. You must include all the land parcel reference numbers which comprise that grazing unit. If something happens which means you cannot complete this action, you must tell the Rural Payments Agency ( RPA ) about this in writing as soon as possible. For example: if there are fodder supply issues, so you need to increase the stocking level you need to carry out supplementary feeding Read section 13.2 €˜What you must do if you cannot comply with your agreement€™ in the SFI scheme information to find out how to tell the RPA about this.</t>
  </si>
  <si>
    <t xml:space="preserve"> How to calculate the livestock density Once you€™ve converted your livestock numbers into GLU using the values shown under €˜What to do€™, you can use the Livestock grazing on moorland calculator to calculate the livestock density per ha. Grazing on moorland Cattle, sheep, and ponies graze in different ways. You can achieve greater environmental benefits if you graze the moorland with: a livestock species which has suitable grazing traits for the habitat type a suitable number of livestock for the habitat type, to avoid overgrazing or under grazing it Grazing traits: ponies Ponies: can graze swards very tight, and at low stocking densities can create a good structural mosaic have a strong preference for grasses and will graze long coarse grass, such as purple moor-grass are very adaptable grazers, and can graze bracken (particularly in the autumn) and gorse are less likely to graze heather over the winter months compared with sheep Grazing traits: cattle Cattle: graze on longer swards, and graze less selectively than sheep and on coarser forage, creating a more varied sward structure will graze lower quality forage such as purple moor-grass, particularly in the spring and early summer Cattle are more likely to cause poaching due to their size, particularly on wetter areas. You can remove them from the area over the winter months to reduce the risk of poaching. Grazing traits: sheep Sheep: can graze swards very tight are highly selective feeders at fine scale, often selecting young flowers and shoots are unlikely to eat long coarse grasses, such as purple moor-grass, if alternative food is available Sheep can cause a decline in dwarf shrub cover due to selective browsing, particularly when out over the winter months. You can reduce the risk of this happening by: removing all the sheep for the entire winter or part of the winter (€˜partial off-wintering€™) reducing sheep numbers during the winter months Grazing to maintain or enhance moorland habitat To help you achieve this action€™s aim, you can maintain or enhance the habitat on moorland by grazing appropriately. This includes trying to trying to avoid grazing on sensitive priority habitats. You€™ll usually need to graze the following moorland habitats, as relevant: most grasslands fens and flushes most heathlands land with historic and archaeological features, to avoid trees, bracken and scrub causing damage upland wood pasture Sensitive priority habitats which may be damaged by grazing include: most woodlands blanket bog mountain heath willow scrub fragmented upland heath that needs to be restored Neighbouring livestock If the area of moorland you enter into this action is unfenced and adjacent land is grazed by other farmers or land managers, you may need to: consider the potential impact of neighbouring livestock straying on your ability to meet this action€™s requirements, particularly the maximum livestock density threshold talk to neighbouring farmers or land managers about removing stray livestock from your area of moorland</t>
  </si>
  <si>
    <t>UPL2 - Low livestock grazing on moorland</t>
  </si>
  <si>
    <t>OFC3</t>
  </si>
  <si>
    <t>Organic conversion rotational land</t>
  </si>
  <si>
    <t>This action€™s aim is that land managed as part of a crop rotation is converted from conventional management to organic management. The purpose of this is to increase the overall area of land registered and managed as organic.</t>
  </si>
  <si>
    <t>land managed as part of a crop rotation is converted from conventional management to organic management. T</t>
  </si>
  <si>
    <t>You can do this action on agricultural land located below the moorland line that€™s: registered as €˜in conversion€™ with a Defra-licensed organic control body an eligible land type (as defined in section 5.1 €˜Eligible land types for SFI €™ in the SFI scheme information) registered with an eligible land cover on your digital maps declared with a land use code which is compatible with the eligible land cover Land is not eligible for this action if you€™ve previously: registered it with an organic control body received organic conversion aid or funding for it Eligible land Eligible land type Eligible land cover Compatible land use code Arable land used to grow crops Arable land Land use codes for arable crops or leguminous and nitrogen-fixing crops Temporary grassland Arable land TG01 Arable land lying fallow Arable land FA01 Improved permanent grassland, where cultivation is part of the conversion plan Permanent grassland PG01 Eligibility of protected land Land or features with protection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Total or part of the available area in a land parcel. Rotational or static action Not applicable if you apply for this action for a second consecutive year you can either do it at: a new location the same location</t>
  </si>
  <si>
    <t>You must keep: a copy of the organic conversion plan approved and signed off by your organic control body a valid organic certificate and schedule for all land entered into this action this must cover at least the full period of this action€™s duration You must supply this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</si>
  <si>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AHW1, AHW3, AHW4, AHW5, AHW6, AHW7, AHW8, AHW9, AHW10, AHW11, AHW12, BFS1, BFS2, BFS4, BFS6, OFA1, OFA6, SOH4, WBD3, WBD8, AGF1, AGF2, PRF1, PRF2, PRF3, PRF4, SOH1, SOH2, SOH3, CAHL1, CAHL2, CAHL3, CAHL4, CIGL1, CIGL2, CIGL3, CIPM1, CIPM2, CIPM3, CIPM4, CNUM1, CNUM2, CNUM3, CSAM1, CSAM2, CSAM3 SFI 2023 actions AHL1, AHL2, AHL3, AHL4, IGL1, IGL2, IGL3, IPM1, IPM2, IPM3, IPM4, NUM1, NUM2, NUM3, SAM1, SAM2, SAM3 CS options AB3, AB5, AB6, AB7, AB8, AB10, AB11, AB13, AB14, AB16, BE1, GS3, HS3, HS9, SW1, SW2, SW3, SW4, SW5, SW6, SW11, SW13, WD3, WT2, OP1, OP2, OP4, OP5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</si>
  <si>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OFC3 - Organic conversion - rotational land</t>
  </si>
  <si>
    <t>BFS2</t>
  </si>
  <si>
    <t>Buffer in-field ponds on arable land</t>
  </si>
  <si>
    <t>You can do this action on agricultural land located below the moorland line that€™s: adjacent to a pond an eligible land type (as defined in section 5.1 €˜Eligible land types for SFI €™ in the SFI scheme information) at the start of this action€™s duration, if the land type changes because of this action, it will not affect eligibility (for example, allowing scrub to develop) registered with an eligible land cover on your digital maps declared with a land use code which is compatible with the eligible land cover You cannot do this action around ponds associated with industrial features such as effluent ponds, balancing ponds or small water supply reservoirs. Eligible land Eligible land type Eligible land cover Compatible land use code Arable land used to grow crops Arable land Land use codes for arable crops or leguminous and nitrogen-fixing crops Temporary grassland Arable land TG01 Arable land lying fallow Arable land FA01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Ineligible you must not enter any area with an historic or archaeological feature into this action. This only affects the area where the feature is located in a land parcel. You can apply for this action on the remaining area in the land parcel if it€™s eligible. Available area you can enter into this action Total or part of the available area in a land parcel. Rotational or static action This action is static. This means you must do it at the same location each year of this action€™s duration.</t>
  </si>
  <si>
    <t>You must establish and maintain a grass strip around a pond that: is at least 10m wide along its entire length and up to 20m wide (on average in each land parcel) it can be more than 20m wide, but you€™ll only be paid for the 20m width extends between the pond edge and the edge of the arable land The grass strip does not need to surround the entire pond. You can choose how much of the pond to buffer. To establish the grass strip, you must either: allow the area to regenerate naturally sow the area Once it€™s established, you must manage it in a way that can reasonably be expected to achieve this action€™s aim. You must make sure the grass strip is in addition to any regulatory requirements relating to buffer strips. You must not: cut the grass strip, except to prevent scrub from developing on more than half of its area cut the strip during the bird breeding season, as birds, nests and eggs are protected by law apply fertilisers or manures apply pesticides, except for herbicides to weed wipe or spot treat to control injurious weeds , invasive non-native species , or nettles You can maintain an existing grass strip to get paid for this action if it: meets this action€™s requirements is not already being paid for under another environmental land management scheme option, such as Countryside Stewardship ( CS ) option WT2 (buffering in-field ponds and ditches on arable land)</t>
  </si>
  <si>
    <t>You must: establish the grass strip within the first 12 months of this action€™s duration maintain the grass strip throughout each subsequent year of this action€™s duration</t>
  </si>
  <si>
    <t>BFS2 - Buffer in-field ponds on arable land</t>
  </si>
  <si>
    <t>SPM4</t>
  </si>
  <si>
    <t>Keep native breeds on extensively managed habitats supplement (50-80%)</t>
  </si>
  <si>
    <t>This supplemental action€™s aim is that at least 50% of the grazing livestock units ( GLU ) on moorland or lowland heathland habitats are rare native breeds of livestock. The purpose of this is to maintain or increase the number of rare native breed grazing livestock.</t>
  </si>
  <si>
    <t>at least 50% of the grazing livestock units ( GLU ) on moorland or lowland heathland habitats are rare native breeds of livestock. T</t>
  </si>
  <si>
    <t>Each grazing season, at least 50% of the total GLU on land entered into this action must be: pedigree rare native breeds this means they€™re registered in a recognised pedigree breeding book on the UK native animal breeds at risk ( NBAR ) list Where relevant, the stocking density (total GLU ) on land entered into this action must be as required in the applicable base action. To convert livestock numbers into GLU , you must use the following values: Cattle over 2 years old at the start of an agreement year€¯1.0 GLU Cattle over 6 months to 2 years old at the start of an agreement year€¯€“ 0.6 GLU Heavy sheep (for example, most lowland sheep, rams and larger hill sheep) 0.12 GLU Light sheep (for example, store lambs and small hill sheep) 0.08 GLU Goat€¯€“ 0.12 GLU Pony or donkey€¯€“ 0.8 GLU Horse€¯€“ 1.0 GLU Read the €˜advice to help you do this action€™ to find out how to calculate the livestock density. You must produce the following written records: a monthly record of grazing animals at the parcel level unique individual animal movement identification numbers for each eligible animal changes to the original documentation since the action€™s start date, such as replacement animals the unique individual permanent NBAR breed identification numbers for each eligible animal - either the pedigree registration number or birth notification number breed registration records and proof of animal provenance, parentage and availability for each animal</t>
  </si>
  <si>
    <t xml:space="preserve"> How to calculate your native breed percentage Once you€™ve converted your livestock numbers into GLU using the values shown under €˜What to do€™, you can use the Native breed grazing calculator to calculate your native breed percentage. Native breeds This action explains which native breeds are eligible (under €˜What to do€™). If you€™re sourcing native breed animals, try to choose animals which have been bred and reared on a similar habitat to where you€™ll be grazing them. If you have not used native rare breeds before you can get help from graziers or livestock conservation organisations like the Rare Breeds Survival Trust . You may find it helpful to read the Grazing Animals Project Breed Profiles Handbook . Grazing the habitat Cattle, sheep, and ponies graze in different ways. You can achieve greater environmental benefits if you graze with: a livestock species which has suitable grazing traits for the habitat type a suitable number of livestock for the habitat type You can choose to mix livestock to create a more varied habitat. Using an unsuitable livestock species or level of grazing (overgrazing or under grazing) can: damage the habitat increase surface water run-off damage historic or archaeological features, where present Grazing traits: ponies Ponies: can graze swards very tight, and at low stocking densities can create a good structural mosaic have a strong preference for grasses and will graze long coarse grass, such as purple moor-grass are very adaptable grazers, and can graze bracken (particularly in the autumn) and gorse are less likely to graze heather over the winter months compared with sheep Grazing traits: cattle Cattle: graze on longer swards, and graze less selectively than sheep and on coarser forage, creating a more varied sward structure will graze lower quality forage such as purple moor-grass, particularly in the spring and early summer Cattle are more likely to cause poaching due to their size, particularly on wetter areas. You can remove them from the area over the winter months to reduce the risk of poaching. Grazing traits: sheep Sheep: can graze swards very tight are highly selective feeders at fine scale, often selecting young flowers and shoots are unlikely to eat long coarse grasses, such as purple moor-grass, if alternative food is available Sheep can cause a decline in dwarf shrub cover due to selective browsing, particularly when out over the winter months. You can reduce the risk of this happening by: removing all the sheep for the entire winter or part of the winter (€˜partial off-wintering€™) reducing sheep numbers during the winter months Neighbouring livestock If the area of land you enter into this action is unfenced and adjacent land is grazed by other farmers or land managers, you may need to: consider the potential impact of neighbouring livestock straying on your ability to meet this action€™s requirements talk to neighbouring farmers or land managers about removing stray livestock from your area of land</t>
  </si>
  <si>
    <t>SPM4 - Supplement: Keep native breeds on extensively managed habitats (50-80%)</t>
  </si>
  <si>
    <t>PRF2</t>
  </si>
  <si>
    <t>Camera or remote sensor guided herbicide spraying</t>
  </si>
  <si>
    <t>This action€™s aim is that camera or remote sensing guided technology is used to apply systemic herbicides to control weeds, so they€™re targeted precisely. The purpose of this is to: reduce the volume of herbicide applied increase biodiversity improve water quality, soil quality and productivity support an integrated pest management approach</t>
  </si>
  <si>
    <t>camera or remote sensing guided technology is used to apply systemic herbicides to control weeds, so they€™re targeted precisely. T</t>
  </si>
  <si>
    <t xml:space="preserve"> reduce the volume of herbicide applied increase biodiversity improve water quality, soil quality and productivity support an integrated pest management approach</t>
  </si>
  <si>
    <t>You can do this action on agricultural land located below the moorland line that€™s: receiving systemic herbicides to control weeds which camera or remote sensing guided technology can recognise an eligible land type (as defined in section 5.1 €˜Eligible land types for SFI €™ in the SFI scheme information) registered with an eligible land cover on your digital maps declared with a land use code which is compatible with the land cover Camera recognition is currently available for: docks and nettles in grass or leys containing clover all weeds in maize certain crops grown on wide row spacings (such as potatoes) stubbles where there€™s green growth Remote sensing technology uses artificial intelligence to recognise target weeds. Eligible land Eligible land type Eligible land cover Compatible land use code Arable land used to grow crops Arable land Land use codes for arable crops or leguminous and nitrogen-fixing crops Temporary grassland Arable land TG01 Arable land lying fallow Arable land FA01 Permanent grassland Permanent grassland PG01 Permanent crops Permanent crops Land use codes for permanent crops Eligibility of protected land Land or features with protection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Total or part of the available area in a land parcel. Rotational or static action This action is rotational or static. This means you can either: move its location for the second and third years of this action€™s duration do it at the same location each year of this action€™s duration</t>
  </si>
  <si>
    <t>You must apply systemic (contact) herbicides on land entered into this action using camera or remote sensing technology that: identifies specific weeds to be controlled automatically switches on individual nozzles to apply the herbicides directly to the identified weeds Systemic herbicides kill the whole weed, from leaf to root. You must only carry out a €˜blanket€™ application of herbicides if you€™re applying: glyphosate to destroy a cover crop or create a stale seedbed before drilling residual herbicides before sown crop plants or weeds emerge (€˜pre-emergence€™) this can be at the same time the crop is established (drilled or planted) or within a few days of establishment pre-harvest herbicide or desiccant to combinable crops A €˜blanket€™ application means you apply herbicides uniformly across an area, rather than targeting the application to identified weeds.</t>
  </si>
  <si>
    <t>You must keep evidence to show what you€™ve done to complete this action, such as: €˜as applied€™ data, such as a map showing where individual nozzles switch on to apply herbicide a record of any permitted blanket application of herbicide, including the date it was applied contractor€™s invoice if you use a contractor to do this action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</si>
  <si>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AHW1, AHW3, AHW5, AHW6, AHW7, AHW8, AHW9, AHW10, AHW11, BFS1, BFS2, BFS3, BFS4, BFS5, HEF5, HEF6, HEF8, OFA1, OFA6, OFC1, OFC2, OFC3, OFC4, OFC5, OFM1, OFM2, OFM4, OFM5, OFM6, SOH4, WBD3, WBD4, WBD5, WBD6, WBD7, WBD8, AGF1, AGF2, PRF1, PRF3, PRF4, SOH1, SOH2, SOH3, CAHL1, CAHL2, CAHL3, CAHL4, CIGL1, CIGL2, CIGL3, CIPM1, CIPM2, CIPM3, CIPM4, CLIG3, CNUM1, CNUM2, CNUM3, CSAM1, CSAM2, CSAM3 SFI 2023 actions AHL1, AHL2, AHL3, AHL4, IGL1, IGL2, ILG3, IPM1, IPM2, IPM3, IPM4, LIG1, LIG2, NUM1, NUM2, NUM3, SAM1, SAM2, SAM3 CS options AB1, AB2, AB3, AB5, AB6, AB7, AB8, AB9, AB10, AB11, AB13, AB14, AB15, AB16, BE1, BE2, GS1, GS2, GS3, GS4, GS5, HS2, HS3, HS4, HS5, HS6, HS9, SW1, SW2, SW3, SW4, SW5, SW6, SW7, SW8, SW9, SW10, SW13, SW15, SW16, WT1, WT2, OP1, OP2, OP4, OP5, OR1, OR2, OR3, OR4, OR5, OT1, OT2, OT3, OT4, OT5 ES options No ES revenue options SFI pilot standards SFI pilot arable and horticultural soil standard all levels SFI pilot arable and horticultural land standard all levels SFI pilot improved grassland standard all levels SFI pilot improved grassland soils standard all levels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</si>
  <si>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Choosing your equipment The camera or remote sensor guided technology you use can be either: mounted on the sprayer working in real time used in advance to create a map which is then uploaded to the sprayer You may be able to get funding for camera or remote sensor guided equipment through the Farming Equipment and Technology Fund ( FETF ).</t>
  </si>
  <si>
    <t>PRF2 - Camera or remote sensor guided herbicide spraying</t>
  </si>
  <si>
    <t>OFM6</t>
  </si>
  <si>
    <t>Organic land management top fruit</t>
  </si>
  <si>
    <t>This action€™s aim is that orchards which produce top fruit and permanent bush crops are maintained under organic management. The purpose of this is to: improve soil health increase biodiversity improve water quality</t>
  </si>
  <si>
    <t>orchards which produce top fruit and permanent bush crops are maintained under organic management. T</t>
  </si>
  <si>
    <t>You can do this action on land located below the moorland line that€™s: registered as €˜fully organic€™ by a Defra-licensed organic control body used to grow top fruit (such as apples, pears and plums) or bush fruit crops (such as gooseberries and redcurrants) as a commercial crop which is not used to produce alcoholic drinks registered with an eligible land cover on your digital maps declared with a land use code which is compatible with the eligible land cover Eligible land Eligible land type Eligible land cover Compatible land use code Permanent horticultural crops Permanent crops TC01 Eligibility of protected land Land or features with protection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Total available area in a land parcel. Rotational or static action This action is static. This means you must do it at the same location each year of this action€™s duration.</t>
  </si>
  <si>
    <t>You must: comply with the organic standards required by your Defra-licensed organic control body on land entered into this action protect the trees from grazing livestock and pests, such as deer and rabbits, to prevent serious damage manage weeds and vegetation around the base of establishing trees</t>
  </si>
  <si>
    <t>You must keep a valid organic certificate and schedule for all land entered into this action this must cover at least the full period of this action€™s duration. You must also keep other evidence to show what you€™ve done to complete this action, such as: field operations at a land parcel level and associated invoices copies of sales receipts for fruit crops photographs and other documentation You must supply this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</si>
  <si>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AHW1, PRF1, PRF2, CAHL1, CAHL2, CAHL3, CAHL4, CIPM1, CIPM2, CIPM3, CIPM4, CNUM1, CNUM3, CSAM1, PRF3 SFI 2023 actions AHL1, AHL2, AHL3, AHL4, IPM1, IPM2, IPM3, IPM4, NUM1, NUM3, SAM1 CS options AB8, AB16, BE4, BE5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</si>
  <si>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OFM6 - Organic land management - top fruit</t>
  </si>
  <si>
    <t>UPL7</t>
  </si>
  <si>
    <t>Shepherding livestock on moorland (no required stock removal period)</t>
  </si>
  <si>
    <t>This action€™s aim is that livestock grazing on moorland is managed to avoid impacting features which are sensitive to damage from grazing, wherever possible. The purpose of this is to: protect and improve habitats for birds, mammals and insects reduce bare ground and soil erosion improve water quality protect historic and archaeological features</t>
  </si>
  <si>
    <t>livestock grazing on moorland is managed to avoid impacting features which are sensitive to damage from grazing, wherever possible. T</t>
  </si>
  <si>
    <t xml:space="preserve"> protect and improve habitats for birds, mammals and insects reduce bare ground and soil erosion improve water quality protect historic and archaeological features</t>
  </si>
  <si>
    <t>You can do this action on land located above the moorland line that€™s: an eligible land type (as defined in section 5.1 €˜Eligible land types for SFI €™ in the SFI scheme information) registered with an eligible land cover on your digital maps declared with a land use code which is compatible with the eligible land cover If a land parcel is located above and below the moorland line, you can enter it into this action if: most of the area is above the moorland line it€™s managed as one grazing unit with adjacent land parcels located above the moorland line Farmyards or land used for turf or peat production are not eligible for this action. Eligible land Eligible land type Eligible land cover Compatible land use code Permanent grassland Permanent grassland PG01 Non-agricultural areas, such as scrub, scree, bracken or bog Relevant non-agricultural land cover, such as scrub, scree, bracken or bog Relevant non-agricultural land use code to match land cover Eligibility of protected land Land or features with protection Eligibility Sites of special scientific interest ( SSSIs ) Eligible you must get SSSI consent before you do this action. Read section 10.3€¯€˜ SSSI consent€™ in the SFI scheme information to find out about: - what it€™s advisable for you to do before you apply for this action on SSSI land - how to give notice to Natural England to get SSSI consent - what stocking and shepherding information you need to provide with your SSSI notice Historic and archaeological features Eligible you must get a SFI HEFER before you do this action (read section 5.6€¯€˜Land with historic or archaeological features€™ in the SFI scheme information to find out how to do this) Available area you can enter into this action Total available area in a land parcel. Rotational or static action This action is static. This means you must do it at the same location each year of this action€™s duration.</t>
  </si>
  <si>
    <t>This action does not require you to remove livestock from the moorland, but you can choose to do so, for example, during lambing. When the livestock are on the moorland, you must take reasonable steps to minimise their access to €˜sensitive features€™ by: shepherding or herding them away using temporary fencing if that€™s possible Sensitive features are areas on the moorland that can easily be damaged by grazing or poaching caused by livestock. They include: bare ground, peat soils, gullies and steep slopes vegetation on wet peaty areas such as blanket bog, wet heath, upland flushes, fens and swamps woody vegetation such as fragmented heath, mountain heath and willow scrub, dry heath, long degenerate heather, deciduous woodland, and scrub grassy vegetation such as upland calcareous grassland, limestone pavement, purple moor-grass, rush pasture and Calaminarian grassland historic or archaeological features, including scheduled monuments these are identified on your SFI HEFER You must not carry out supplementary feeding of livestock on land entered into this action, apart from mineral licks. If you provide mineral licks, you must locate them on areas away from sensitive features. At the start of each year of this action€™s duration, you must produce a written stocking and shepherding calendar for each land parcel entered into this action. The stocking and shepherding calendar must show how you plan to meet this action€™s requirements, including: land parcel reference number and hectarage all the sensitive features you€™ve identified in each land parcel you can use the moorland survey completed for MOR1 or CMOR1 to show this, if it identifies sensitive features monthly numbers of livestock which will graze the land parcel, including their type and age bracket shepherding or herding activities you plan to carry out when the livestock are on the moorland to avoid damaging the identified sensitive features. If you manage several adjacent land parcels as one grazing unit, you can keep one stocking and shepherding calendar for that grazing unit. You must include all the land parcel reference numbers which comprise that grazing unit.</t>
  </si>
  <si>
    <t>You must keep the required written stocking and shepherding record and supply this evidence if we ask for it. It can be recorded on paper or electronically.</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</si>
  <si>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HEF5, UPL1, UPL2, UPL3, CMOR1 SFI 2023 actions MOR1 CS options HS4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one of the following supplemental actions on land entered into this action: SPM4: Keep native breeds on extensively managed habitats supplement (50-80%) SPM5: Keep native breeds on extensively managed habitats supplement (more than 80%) You can do the following actions or options on the eligible boundaries of a land parcel entered into this action: SFI 2024 actions: CHRW1, CHRW2, CHRW3, BND1, BND2 and WBD2 SFI 2023 actions: HRW1, HRW2, HRW3 CS option BE3 (management of hedgerows) introductory level of the SFI pilot hedgerows standard</t>
  </si>
  <si>
    <t xml:space="preserve"> How to plan your shepherding or herding activities This action requires you to take reasonable steps to minimise your livestock€™s access to €˜sensitive features€™ when they€™re on the moorland. Livestock includes sheep, cattle and ponies, as relevant. You can shepherd or herd your livestock to: distribute them more widely across the moorland area encourage them to access areas which need to be grazed direct them away from sensitive features that can easily be damaged by grazing or poaching The frequency and timing of your shepherding or herding activities will depend on: the species and behaviour of your livestock the success of your shepherding or herding activities the type of sensitive features on your moorland Carrying out shepherding or herding activities When you carry out the shepherding or herding activities, try to avoid them causing damage to your moorland. For example, if you use a vehicle, try to avoid: damaging water flow, which is an important component of blanket bog and wet heath hydrology crossing areas that are particularly wet and boggy, and other areas containing sensitive features causing rutting, soil compaction or damage to surface vegetation During the bird breeding season (usually March to early July), try to minimise the number of vehicles you use off established routes and tracks. This is to avoid bird disturbance and damage to nest sites . Neighbouring livestock If the area of moorland you enter into this action is unfenced and adjacent land is grazed by other farmers or land managers, you may need to: consider the potential impact of neighbouring livestock straying on your ability to meet this action€™s requirements talk to neighbouring farmers or land managers about removing stray livestock from your area of moorland</t>
  </si>
  <si>
    <t>UPL7 - Shepherding livestock on moorland (no required stock removal period)</t>
  </si>
  <si>
    <t>OFM4</t>
  </si>
  <si>
    <t>Organic land management rotational land</t>
  </si>
  <si>
    <t>This action€™s aim is that land managed as part of a crop rotation is maintained under organic management. The purpose of this is to: improve soil health increase biodiversity improve water quality</t>
  </si>
  <si>
    <t>land managed as part of a crop rotation is maintained under organic management. T</t>
  </si>
  <si>
    <t>You can do this action on agricultural land located below the moorland line that€™s: registered as €˜fully organic€™ by a Defra-licensed organic control body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Arable land used to grow crops Arable land Land use codes for arable crops or leguminous and nitrogen-fixing crops Temporary grassland Arable land TG01 Arable land lying fallow Arable land FA01 Eligibility of protected land Land or features with protection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Total or part of the available area in a land parcel. Rotational or static action This action is rotational or static. This means you can either: move its location for the second and third years of this action€™s duration do it at the same location each year of this action€™s duration</t>
  </si>
  <si>
    <t>You must keep a valid organic certificate and schedule for all land entered into this action. This must cover at least the full period of this action€™s duration. You must supply this evidence if we ask for it.</t>
  </si>
  <si>
    <t>OFM4 - Organic land management - rotational land</t>
  </si>
  <si>
    <t>OFC5</t>
  </si>
  <si>
    <t>Organic conversion top fruit</t>
  </si>
  <si>
    <t>1 year you can apply for this action for a maximum of 3 consecutive years to cover the period of converting to organic</t>
  </si>
  <si>
    <t>This action€™s aim is that orchards which produce top fruit and permanent bush crops are converted from conventional management to organic management. The purpose of this is to increase the overall area of land registered and managed as organic.</t>
  </si>
  <si>
    <t>orchards which produce top fruit and permanent bush crops are converted from conventional management to organic management. T</t>
  </si>
  <si>
    <t>You can do this action on agricultural land located below the moorland line that€™s: registered as €˜in conversion€™ with a Defra-licensed organic control body used to grow top fruit (such as apples, pears and plums) or bush fruit crops (such as gooseberries and redcurrants) as a commercial crop which is not used to produce alcoholic drinks an eligible land type (as defined in section 5.1 €˜Eligible land types for SFI €™ in the SFI scheme information) registered with an eligible land cover on your digital maps declared with a land use code which is compatible with the eligible land cover Land is not eligible for this action if you€™ve either: previously registered it with an organic control body received organic conversion aid or funding for it Eligible land Eligible land type Eligible land cover Compatible land use code Permanent horticultural crops Permanent crops TC01 Eligibility of protected land Land or features with protection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Total available area in a land parcel. Rotational or static action This action is static. This means you must do it at the same location each year of this action€™s duration.</t>
  </si>
  <si>
    <t>You must: protect the trees from grazing livestock and pests, such as deer and rabbits, to prevent serious damage manage weeds and vegetation around the base of establishing trees follow the organic conversion plan for the land entered into this action and associated livestock, as approved and signed off by your organic control body comply with organic standards on land entered into this action from the start of organic conversion period until this action€™s end date complete organic conversion and register the land entered into this action as €˜fully organic€™ before this action€™s end date</t>
  </si>
  <si>
    <t>You must keep: a conversion map showing the planting spacing and species within the orchard you can mark this on any map copies of fruit sale receipts to show that the orchards are in commercial production and not used to produce alcoholic drinks a copy of the organic conversion plan approved and signed off by your organic control body photographs of the trees entered into this action a valid organic certificate and schedule for all land entered into this action this must cover at least the full period of this action€™s duration You must supply this evidence if we ask for it.</t>
  </si>
  <si>
    <t>OFC5 - Organic conversion - top fruit</t>
  </si>
  <si>
    <t>PRF3</t>
  </si>
  <si>
    <t>Non-mechanical robotic weeding</t>
  </si>
  <si>
    <t>This action€™s aim is that non-mechanical robotic weeding technology is used to control weeds, so there€™s minimal use of herbicides. The purpose of this is to: improve productivity improve water and soil quality increase biodiversity support an integrated pest management approach</t>
  </si>
  <si>
    <t>non-mechanical robotic weeding technology is used to control weeds, so there€™s minimal use of herbicides. T</t>
  </si>
  <si>
    <t xml:space="preserve"> improve productivity improve water and soil quality increase biodiversity support an integrated pest management approach</t>
  </si>
  <si>
    <t>You can do this action on agricultural land located below the moorland line that€™s: an eligible land type (as defined in section 5.1 €˜Eligible land types for SFI €™ in the SFI scheme information) registered with an eligible land cover on your digital maps declared with a land use code which is compatible with the land cover Eligible land Eligible land type Eligible land cover Compatible land use code Arable land used to grow crops Arable land Land use codes for arable crops or leguminous and nitrogen-fixing crops Temporary grassland Arable land TG01 Arable land lying fallow Arable land FA01 Permanent horticultural crops Permanent crops TC01 Eligibility of protected land Land or features with protection Eligibility Sites of special scientific interest ( SSSIs ) Eligible you must get SSSI consent before you do this action (read section 10.3€¯€˜ SSSI consent€™ in the SFI scheme information to find out how to do this) Historic and archaeological features Eligible you must get a SFI HEFER before you do this action (read section 5.6€¯€˜Land with historic or archaeological features€™ in the SFI scheme information to find out how to do this) Available area you can enter into this action Total or part of the available area in a land parcel. Rotational or static action For arable and non-permanent horticultural crops, including temporary grassland, this action is rotational. This means you can either: move its location for the second and third years of this action€™s duration do it at the same location each year of this action€™s duration For permanent horticultural crops, this action is static. This means you must do it at the same location each year of this action€™s duration.</t>
  </si>
  <si>
    <t>You must control weeds on land entered into this action using a non-mechanical robotic weeder that: identifies and locates weeds destroys weeds using a laser or high voltage electricity If the land is being used to grow arable or non-permanent horticultural crops, you must do this action on one crop from when it€™s sown until it€™s harvested. For the purposes of this action, an arable or non-permanent horticultural crop includes: combinable crops, such as cereals and oilseed rape root crops field vegetables and salad crops soft fruit crops which do not occupy the land for 5 years or more and provide repeated harvests (also known as permanent crops) You can choose which arable or non-permanent horticultural crop to do this action on, but it must be a €˜cash crop€™. This means it€™s a crop grown to be harvested for commercial use. You can apply residual herbicides to your chosen arable or non-permanent horticultural crop before the sown crop plants or weeds emerge (€˜pre-emergence€™). This can be at the same time the crop is established (drilled or planted) or within a few days of establishment. €˜Residual€™ herbicides are long-lasting selective herbicides which control certain weed species without harming the crop. You must not use any other herbicides on land entered into this action.</t>
  </si>
  <si>
    <t>For arable or non-permanent horticultural crops, you must do this action on at least one crop that€™s sown during each year of this action€™s 3-year duration. You can harvest it in a subsequent year of this action€™s duration if you sow the next crop for this action in the same year. This means you must do this action on a crop that€™s sown during: the first year of this action€™s duration you can harvest it in the second year of this action€™s duration the second year of this action€™s duration you can harvest it in the third year of this action€™s duration the third year of this action€™s duration you must do this action until you harvest the crop or this action€™s end date, whichever is earlier If you€™re already growing an arable or non-permanent horticultural crop on the land entered into this action when the action starts, you must do this action on a crop that€™s sown within 12 months of the action€™s start date. For grassland or permanent horticultural crops, you must do this action from its start date, throughout each year of this action€™s 3-year duration.</t>
  </si>
  <si>
    <t>You must keep evidence to show what you€™ve done to complete this action, such as: data from the tractor€™s or non-mechanical weeder€™s job recording system identifying the weeder, the date and areas weeded field operations at a land parcel level, including the land parcel reference number and the dates the arable crop was sown and harvested (where relevant) contractor€™s invoice if you use a contractor to do this action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</si>
  <si>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AHW7, AHW8, AHW10, OFA1, OFA6, OFC3, OFC4, OFC5, OFM4, OFM5, OFM6, SOH4, AGF1, AGF2, PRF1, PRF2, SOH1, SOH2, SOH3, CIPM1, CIPM3, CIPM4, CNUM1, CSAM1, CSAM2, CSAM3 SFI 2023 actions IPM1, IPM3, IPM4, NUM1, SAM1, SAM2, SAM3 CS options AB6, AB7, AB13, AB14, GS3, SW5, SW6, SW12, OP1, OP5, OR3, OR4, OR5, OT3, OT4, OT5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</si>
  <si>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Using non-mechanical robotic weeding equipment The non-mechanical robotic weeding equipment you use can be either tractor mounted or autonomous. You may be able to get funding for this equipment through the Farming Equipment and Technology Fund ( FETF ).</t>
  </si>
  <si>
    <t>PRF3 - Non-mechanical robotic weeding</t>
  </si>
  <si>
    <t>OFM5</t>
  </si>
  <si>
    <t>Organic land management horticultural land</t>
  </si>
  <si>
    <t>This action€™s aim is that horticultural land is maintained under organic management. The purpose of this is to: improve soil health increase biodiversity improve water quality</t>
  </si>
  <si>
    <t>horticultural land is maintained under organic management. T</t>
  </si>
  <si>
    <t>You can do this action on agricultural land located below the moorland line that€™s: registered as €˜fully organic€™ by a Defra-licensed organic control body used to grow at least one horticultural crop in each land parcel entered into this action, each year of this action€™s duration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Arable land used to grow horticultural crops Arable land Land use codes for horticultural arable crops Permanent horticultural crops Permanent crops TC01 Eligibility of protected land Land or features with protection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Total or part of the available area in a land parcel. Rotational or static action For non-permanent horticultural crops grown on arable land this action is rotational or static. This means you can either: move its location for the second and third years of this action€™s duration do it at the same location each year of this action€™s duration For permanent horticultural crops, this action is static. This means you must do it at the same location each year of this action€™s duration.</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</si>
  <si>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AHW1, AHW3, AHW5, AHW11, AHW12, BFS1, BFS2, BFS4, WBD3, AGF1, AGF2, PRF1, PRF2, PRF3, CAHL1, CAHL2, CAHL3, CAHL4, CIPM1, CIPM2, CIPM3, CIPM4, CNUM1, CNUM3, CSAM1, CSAM2 SFI 2023 actions AHL1, AHL2, AHL3, AHL4, IPM1, IPM2, IPM3, IPM4, NUM1, NUM3, SAM1, SAM2 CS options AB3, AB5, AB8, AB11, AB16, BE1, HS3, HS9, SW1, SW3, SW4, SW6, WD3, WT2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</si>
  <si>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OFM5 - Organic land management - horticultural land</t>
  </si>
  <si>
    <t>UPL6</t>
  </si>
  <si>
    <t>Keep cattle and ponies on moorland supplement (100% GLU)</t>
  </si>
  <si>
    <t>This supplemental action€™s aim is that all the grazing livestock units ( GLU ) on moorland are cattle or ponies, or a combination of both. The purpose of this is to: create a more varied sward structure control scrub, bracken and coarse vegetation increase wildlife diversity</t>
  </si>
  <si>
    <t>all the grazing livestock units ( GLU ) on moorland are cattle or ponies, or a combination of both. T</t>
  </si>
  <si>
    <t xml:space="preserve"> create a more varied sward structure control scrub, bracken and coarse vegetation increase wildlife diversity</t>
  </si>
  <si>
    <t>You can only do this supplemental action on eligible land entered into one of the following base actions: UPL1: Moderate livestock grazing on moorland UPL2: Low livestock grazing on moorland UPL3: Limited livestock grazing on moorland If you apply for this supplemental action, you cannot apply for the following supplemental actions on the same are: UPL4: Keep cattle and ponies on moorland supplement (minimum 30% GLU ) UPL5: Keep cattle and ponies on moorland supplement (minimum 70% GLU ) Eligibility of protected land Protected land Eligibility Sites of special scientific interest ( SSSIs ) Same as your selected base action Historic and archaeological features Same as your selected base action Available area you can enter into this action This is the same as your selected base action. Rotational or static action This is the same as your selected base action.</t>
  </si>
  <si>
    <t>100% of the GLU on land entered into UPL1, UPL2 or UPL3 must be cattle or ponies, or a combination of both. You must include the following information in the written stocking calendar required for UPL1, UPL2 and UPL3: dates you plan to graze the land parcel with cattle, ponies or both during each calendar month monthly numbers of cattle, ponies or both, including the age bracket for cattle</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</si>
  <si>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actions Same as your selected base action CS options Same as your selected base action ES options Same as your selected base action SFI pilot standards Same as your selected base action If an action or option cannot be located on the same area, you may be able to do it on a different area in the same land parcel. Read section 6 €˜Eligible land in other funding schemes€™ in the SFI scheme information for more details. You can do one of the following supplemental actions on the same area as this supplemental action: SPM4: Keep native breeds on extensively managed habitats supplement (50-80%) SPM5: Keep native breeds on extensively managed habitats supplement (more than 80%)</t>
  </si>
  <si>
    <t xml:space="preserve"> How to calculate the livestock percentage Once you€™ve converted your livestock numbers into GLU using the values shown under €˜What to do€™, you can use the Livestock grazing on moorland calculator to calculate the percentage of total GLU entered into your selected base action. The GLU percentage is an annual average. Grazing moorland with cattle and ponies Before you graze with cattle or ponies, or a combination of both, it€™s advisable to assess your moorland so you can manage grazing in a way that helps to: maintain, enhance or restore habitats protect historic and archaeological features You can apply for CMOR1: assess moorland and produce a written record to help you identify opportunities for managing cattle and pony grazing on your moorland. Type of cattle Cattle with low nutritional requirements (such as dry suckler cows) are best for sites with fibrous herbage. Mature and placid cattle are best suited for sites where there are ground-nesting birds, as they reduce the risk of trampling. Type of pony Hardy native ponies and their cross-breeds are well suited to the harsh conditions on moorlands. It€™s important that ponies can exhibit their natural herd behaviours, preferably with a mixed age of animals. All ponies need access to drier areas for rest. This is particularly important for pregnant mares and foals. Grazing purple moor-grass with cattle and ponies Grazing purple moor-grass with cattle or ponies, or a combination of both, during the spring and early summer (usually between around mid-May and mid-July) can reduce species dominance. This is because the grassland is growing quickly and is most palatable. You can choose to graze more heavily during the spring and summer. This can help to improve vegetation structure on areas dominated by purple moor-grass.</t>
  </si>
  <si>
    <t>UPL6 - Supplement: Keep cattle and ponies on moorland (100% GLU)</t>
  </si>
  <si>
    <t>OFA6</t>
  </si>
  <si>
    <t>Undersown cereal crop (organic land)</t>
  </si>
  <si>
    <t>This action€™s aim is that by late spring there€™s a cereal crop undersown with a grass or flower-rich legume ley. The purpose of this is to provide habitats that benefits animals, including invertebrates and birds that forage within the undersown cereal crop.</t>
  </si>
  <si>
    <t>by late spring there€™s a cereal crop undersown with a grass or flower-rich legume ley. T</t>
  </si>
  <si>
    <t>provide habitats that benefits animals, including invertebrates and birds that forage within the undersown cereal crop.</t>
  </si>
  <si>
    <t>You can do this action on agricultural land located below the moorland line that€™s: registered as €˜fully organic€™ or €˜in conversion€™ by a Defra-licensed organic control body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Arable land used to grow cereal crops (not maize) Arable land Land use codes for arable crops Eligibility of protected land Protected land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Total or part of the available area in a land parcel. Rotational or static action This action is rotational or static. This means you can either: move its location for the second and third years of this action€™s duration do it at the same location each year of this action€™s duration</t>
  </si>
  <si>
    <t>By late spring, you must undersow an autumn or spring sown cereal crop (not maize) with a grass or flower-rich legume ley.</t>
  </si>
  <si>
    <t>You must do this action each year of its 3-year duration. If this action€™s start date means it€™s too late for you to do this action, you must start doing it within 12 months of the action€™s start date. In the final year of this action€™s duration, you must do this action until late spring or this action€™s end date, whichever is earlier.</t>
  </si>
  <si>
    <t>You must keep a valid organic certificate and schedule for all land entered into this action. This must cover at least the full period of this action€™s duration. You must also keep evidence to show what you€™ve done to complete this action, such as: field operations at a land parcel level and associated invoices, including seed invoices for the undersown crop photographs or other documentation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</si>
  <si>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OFC3, OFM4, AGF1, AGF2, PRF1, PRF2, PRF3, PRF4, SOH1, CIPM1, CIPM4, CNUM1, CSAM1, CSAM2, SOH2, SOH3 SFI 2023 actions IPM1, IPM4, NUM1, SAM1, SAM2 CS options HS3, HS9, OR3, OT3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</si>
  <si>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OFA6 - Undersown cereals (organic land)</t>
  </si>
  <si>
    <t>UPL10</t>
  </si>
  <si>
    <t>Shepherding livestock on moorland (remove stock for at least 8 months)</t>
  </si>
  <si>
    <t>This action€™s aim is that livestock grazing on moorland is managed to avoid impacting habitats which are sensitive to damage from grazing, wherever possible. The purpose of this is to: protect and improve habitats for birds, mammals and insects reduce bare ground and soil erosion improve water quality protect historic and archaeological features</t>
  </si>
  <si>
    <t>livestock grazing on moorland is managed to avoid impacting habitats which are sensitive to damage from grazing, wherever possible. T</t>
  </si>
  <si>
    <t>You can do this action on land located above the moorland line that€™s: an eligible land type (as defined in section 5.1 €˜Eligible land types for SFI €™ in the SFI scheme information) registered with an eligible land cover on your digital maps declared with a land use code which is compatible with the eligible land cover If a land parcel is located above and below the moorland line, you can enter it into this action if: most of the area is above the moorland line it€™s managed as one grazing unit with adjacent land parcels located above the moorland line Farmyards or land used for turf or peat production are not eligible for this action. Eligible land Eligible land type Eligible land cover Compatible land use code Permanent grassland Permanent grassland PG01 Non-agricultural areas, such as scrub, scree, bracken or bog Relevant non-agricultural land cover, such as scrub, scree, bracken or bog Relevant non-agricultural land use code to match land cover Eligibility of protected land Land or features with protection Eligibility Sites of special scientific interest ( SSSIs ) Eligible you must get SSSI consent before you do this action. Read section 10.3€¯€˜ SSSI consent€™ in the SFI scheme information to find out about: - what it€™s advisable for you to do before you apply for this action on SSSI land - how to give notice to Natural England to get SSSI consent - what stocking and shepherding information you need to provide with your SSSI notice Historic and archaeological features Eligible you must get a SFI HEFER before you do this action (read section 5.6€¯€˜Land with historic or archaeological features€™ in the SFI scheme information to find out how to do this) Available area you enter into this action Total available area in a land parcel. Rotational or static action This action is static. This means you must do it at the same location each year of this action€™s duration.</t>
  </si>
  <si>
    <t>You must remove all livestock, except resident ponies, from land entered into this action for at least 8 consecutive calendar months. €˜Resident ponies€™ means ponies which are traditionally kept on the moorland, such as Dartmoor and Exmoor ponies. When the livestock are on the moorland, you must take reasonable steps to minimise their access to €˜sensitive features€™ by: shepherding or herding them away using temporary fencing if that€™s possible Sensitive features are areas on the moorland that can easily be damaged by grazing or poaching caused by livestock. They include: bare ground, peat soils, gullies and steep slopes vegetation on wet peaty areas such as blanket bog, wet heath, upland flushes, fens and swamps woody vegetation such as fragmented heath, mountain heath and willow scrub, dry heath, long degenerate heather, deciduous woodland, and scrub grassy vegetation such as upland calcareous grassland, limestone pavement, purple moor-grass, rush pasture and Calaminarian grassland historic or archaeological features, including scheduled monuments these are identified on your SFI HEFER You must not carry out supplementary feeding of livestock on land entered into this action, apart from mineral licks. If you provide mineral licks, you must locate them on areas away from sensitive features. At the start of each year of this action€™s duration, you must produce a written stocking and shepherding calendar for each land parcel entered into this action. The stocking and shepherding calendar must show how you plan to meet this action€™s requirements, including: land parcel reference number and hectarage all the sensitive features you€™ve identified in each land parcel you can use the moorland survey completed for MOR1 or CMOR1 to show this, if it identifies sensitive features monthly numbers of livestock which will graze the land parcel, including their type and age bracket dates you plan to remove livestock and return them to the moorland shepherding or herding activities you plan to carry out when the livestock are on the moorland to avoid damaging the sensitive features If you manage several adjacent land parcels as one grazing unit, you can keep one stocking and shepherding calendar for that grazing unit. You must include all the land parcel reference numbers which comprise that grazing unit.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</si>
  <si>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HEF5, UPL1, UPL2, UPL3, CMOR1 SFI 2023 actions MOR1 CS options HS4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one of the following supplemental actions on land entered into this action: SPM4: Keep native breeds on extensively managed habitats supplement (50-80%) SPM5: Keep native breeds on extensively managed habitats supplement (more than 80%)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</si>
  <si>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 xml:space="preserve"> How to do this action on land that€™s an SSSI If you want to do this action on land that€™s an SSSI , before you give notice to Natural England to get SSSI consent to do this action, it€™s advisable that you either: speak to Natural England about the livestock grazing activities you€™re proposing to do on your SSSI land to complete this action get other expert advice on grazing your SSSI land This will allow you to: make sure that the grazing activities you€™ll do to complete this action are appropriate for the relevant type of SSSI habitat and its condition get an indication of the grazing activities that Natural England is likely to give you SSSI consent for Read section 10.3 €˜ SSSI consent€™ in the SFI scheme information to find out what stocking information you need to provide with your SSSI notice. How to plan your shepherding or herding activities This action requires you to take reasonable steps to minimise your livestock€™s access to €˜sensitive features€™ when they€™re on the moorland. Livestock includes sheep, cattle and ponies, as relevant. You can shepherd or herd your livestock to: distribute them more widely across the moorland area encourage them to access areas which need to be grazed direct them away from sensitive features that can easily be damaged by grazing or poaching The frequency and timing of your shepherding or herding activities will depend on: the species and behaviour of your livestock the success of your shepherding or herding activities the type of sensitive features on your moorland Carrying out shepherding or herding activities When you carry out the shepherding or herding activities, try to avoid them causing damage to your moorland. For example, if you use a vehicle, try to avoid: damaging water flow, which is an important component of blanket bog and wet heath hydrology crossing areas that are particularly wet and boggy, and other areas containing sensitive features causing rutting, soil compaction or damage to surface vegetation During the bird breeding season (usually March to early July), try to minimise the number of vehicles you use off established routes and tracks. This is to avoid bird disturbance and damage to nest sites. Planning livestock removal from your moorland Some sensitive features moorland features can benefit from removing stock at certain times of the year. The following features may benefit from you removing stock during the winter months: scrub and woody vegetation you can reduce trampling damage and allow the previous season€™s growth to remain because dwarf shrubs are more vulnerable to damage from grazing when there€™s little grass available wet and peaty soils removing stock can reduce poaching and compaction damage to the soil surface historic or archaeological features removing stock can reduce poaching and compaction damage to the soil surface The following features may benefit from you removing stock in the spring or summer: upland calcareous grassland grazing in winter rather than in summer reduces the dominance of vigorous grasses and allows plants to flower and set seed in the summer ground nesting birds removing stock allows birds to fledge and reduces disturbance This action does not require you to remove resident ponies, so they can overwinter on the moorland. This can help to: allow youngstock to learn from more mature animals maintain the herd structure allow the ponies to exhibit their natural behaviours Neighbouring livestock If the area of moorland you enter into this action is unfenced and adjacent land is grazed by other farmers or land managers, you may need to: consider the potential impact of neighbouring livestock straying on your ability to meet this action€™s requirements, particularly the livestock removal period talk to neighbouring farmers or land managers about removing stray livestock from your area of moorland</t>
  </si>
  <si>
    <t>UPL10 - Shepherding livestock on moorland (remove stock for at least 8 months)</t>
  </si>
  <si>
    <t>UPL8</t>
  </si>
  <si>
    <t>Shepherding livestock on moorland (remove stock for at least 4 months)</t>
  </si>
  <si>
    <t>You must remove all livestock, except resident ponies, from land entered into this action for at least 4 consecutive calendar months. €˜Resident ponies€™ means ponies which are traditionally kept on the moorland, such as Dartmoor and Exmoor ponies. When the livestock are on the moorland, you must take reasonable steps to minimise their access to €˜sensitive features€™ by: shepherding or herding them away using temporary fencing if that€™s possible Sensitive features are areas on the moorland that can easily be damaged by grazing or poaching caused by livestock. They include: bare ground, peat soils, gullies and steep slopes vegetation on wet peaty areas such as blanket bog, wet heath, upland flushes, fens and swamps woody vegetation such as fragmented heath, mountain heath and willow scrub, dry heath, long degenerate heather, deciduous woodland, and scrub grassy vegetation such as upland calcareous grassland, limestone pavement, purple moor-grass, rush pasture and Calaminarian grassland historic or archaeological features, including scheduled monuments these are identified on your SFI HEFER You must not carry out supplementary feeding of livestock on land entered into this action, apart from mineral licks. If you provide mineral licks, you must locate them on areas away from sensitive features. At the start of each year of this action€™s duration, you must produce a written stocking and shepherding calendar for each land parcel entered into this action. The stocking and shepherding calendar must show how you plan to meet this action€™s requirements, including: land parcel reference number and hectarage all the sensitive features you€™ve identified in each land parcel you can use the moorland survey completed for MOR1 or CMOR1 to show this, if it identifies sensitive features monthly numbers of livestock which will graze the land parcel, including their type and age bracket dates you plan to remove livestock and return them to the moorland shepherding or herding activities you plan to carry out when the livestock are on the moorland to avoid damaging the identified sensitive features If you manage several adjacent land parcels as one grazing unit, you can keep one stocking and shepherding calendar for that grazing unit. You must include all the land parcel reference numbers which comprise that grazing unit.</t>
  </si>
  <si>
    <t xml:space="preserve"> How to plan your shepherding or herding activities This action requires you to take reasonable steps to minimise your livestock€™s access to €˜sensitive features€™ when they€™re on the moorland. Livestock includes sheep, cattle and ponies, as relevant. You can shepherd or herd your livestock to: distribute them more widely across the moorland area encourage them to access areas which need to be grazed direct them away from sensitive features that can easily be damaged by grazing or poaching The frequency and timing of your shepherding or herding activities will depend on: the species and behaviour of your livestock the success of your shepherding or herding activities the type of sensitive features on your moorland Carrying out shepherding or herding activities When you carry out the shepherding or herding activities, try to avoid them causing damage to your moorland. For example, if you use a vehicle, try to avoid: damaging water flow, which is an important component of blanket bog and wet heath hydrology crossing areas that are particularly wet and boggy, and other areas containing sensitive features causing rutting, soil compaction or damage to surface vegetation During the bird breeding season (usually March to early July), try to minimise the number of vehicles you use off established routes and tracks. This is to avoid bird disturbance and damage to nest sites. Planning livestock removal from your moorland Some sensitive features moorland features can benefit from removing stock at certain times of the year. The following features may benefit from you removing stock during the winter months: scrub and woody vegetation you can reduce trampling damage and allow the previous season€™s growth to remain because dwarf shrubs are more vulnerable to damage from grazing when there€™s little grass available wet and peaty soils removing stock can reduce poaching and compaction damage to the soil surface historic or archaeological features removing stock can reduce poaching and compaction damage to the soil surface The following features may benefit from you removing stock in the spring or summer: upland calcareous grassland grazing in winter rather than in summer reduces the dominance of vigorous grasses and allows plants to flower and set seed in the summer ground nesting birds removing stock allows birds to fledge and reduces disturbance This action does not require you to remove resident ponies, so they can overwinter on the moorland. This can help to: allow youngstock to learn from more mature animals maintain the herd structure allow the ponies to exhibit their natural behaviours Neighbouring livestock If the area of moorland you enter into this action is unfenced and adjacent land is grazed by other farmers or land managers, you may need to: consider the potential impact of neighbouring livestock straying on your ability to meet this action€™s requirements, particularly the livestock removal period talk to neighbouring farmers or land managers about removing stray livestock from your area of moorland</t>
  </si>
  <si>
    <t>UPL8 - Shepherding livestock on moorland (remove stock for at least 4 months)</t>
  </si>
  <si>
    <t>OFM3</t>
  </si>
  <si>
    <t>Organic land management enclosed rough grazing</t>
  </si>
  <si>
    <t>This action€™s aim is that rough grazing is maintained under organic management. The purpose of this is to: improve soil health increase biodiversity improve water quality</t>
  </si>
  <si>
    <t>rough grazing is maintained under organic management. T</t>
  </si>
  <si>
    <t>You can do this action on land located within a severely disadvantaged area ( SDA ) above the moorland line that€™s: registered as €˜fully organic€™ by a Defra-licensed organic control body in an enclosed land parcel that€™s less than 15ha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Unimproved low input permanent grassland that€™s rough grazing Permanent grassland PG01 Non-agricultural areas, such as scrub, scree, bracken and bog Relevant non-agricultural land cover Relevant non-agricultural land use code to match land cover Eligibility of protected land Land or features with protection Eligibility SSSI area in a land parcel Eligible you must get SSSI consent  before you do this action (read section 10.3 €˜ SSSI consent€™ in the SFI scheme information to find out how to do this) Historic environment features Eligible you must get a SFI HEFER before you do this action (read section 5.6 €˜Land with historic or archaeological features€™ in the SFI scheme information to find out how to do this) Available area you can enter into this action Total available area in a land parcel. Rotational or static action This action is static. This means you must do it at the same location each year of this action€™s duration.</t>
  </si>
  <si>
    <t>You must keep a valid organic certificate and schedule for all land entered into this action this must cover at least the full period of this action€™s duration. You must supply this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</si>
  <si>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HEF5, CMOR1 SFI 2023 actions MOR1 CS options UP1, UP2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one of the following supplemental actions on land entered into this base action: SPM4: Keep native breeds on extensively managed habitats supplement (50-80%) SPM5: Keep native breeds on extensively managed habitats supplement (more than 80%)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</si>
  <si>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OFM3 - Organic land management - enclosed rough grazing</t>
  </si>
  <si>
    <t>UPL9</t>
  </si>
  <si>
    <t>Shepherding livestock on moorland (remove stock for at least 6 months)</t>
  </si>
  <si>
    <t>You must remove all livestock, except resident ponies, from land entered into this action for at least 6 consecutive calendar months. €˜Resident ponies€™ means ponies which are traditionally kept on the moorland, such as Dartmoor and Exmoor ponies. When the livestock are on the moorland, you must take reasonable steps to minimise their access to €˜sensitive features€™ by: shepherding or herding them away using temporary fencing if that€™s possible Sensitive features are areas on the moorland that can easily be damaged by grazing or poaching caused by livestock. They include: bare ground, peat soils, gullies and steep slopes vegetation on wet peaty areas such as blanket bog, wet heath, upland flushes, fens and swamps woody vegetation such as fragmented heath, mountain heath and willow scrub, dry heath, long degenerate heather, deciduous woodland, and scrub grassy vegetation such as upland calcareous grassland, limestone pavement, purple moor-grass, rush pasture and Calaminarian grassland historic or archaeological features, including scheduled monuments these are identified on your SFI HEFER You must not carry out supplementary feeding of livestock on land entered into this action, apart from mineral licks. If you provide mineral licks, you must locate them on areas away from sensitive features. At the start of each year of this action€™s duration, you must produce a written stocking and shepherding calendar for each land parcel entered into this action. The stocking and shepherding calendar must show how you plan to meet this action€™s requirements, including: land parcel reference number and hectarage all the sensitive features you€™ve identified in each land parcel you can use the moorland survey completed for MOR1 or CMOR1 to show this, if it identifies sensitive features monthly numbers of livestock which will graze the land parcel, including their type and age bracket dates you plan to remove livestock and return them to the moorland shepherding or herding activities you plan to carry out when the livestock are on the moorland to avoid damaging the identified sensitive features If you manage several adjacent land parcels as one grazing unit, you can keep one stocking and shepherding calendar for that grazing unit. You must include all the land parcel reference numbers which comprise that grazing unit.</t>
  </si>
  <si>
    <t>UPL9 - Shepherding livestock on moorland (remove stock for at least 6 months)</t>
  </si>
  <si>
    <t>OFA3</t>
  </si>
  <si>
    <t>Supplementary winter bird food (organic land)</t>
  </si>
  <si>
    <t>per tonne per year maximum of 1 tonne of supplementary winter bird food (action AHW2) for every 2 hectares (ha) of winter bird food (action CAHL2 in the expanded SFI offer or AHL2 in the SFI 2023 offer)</t>
  </si>
  <si>
    <t>This action€™s aim is that from late winter until mid-spring there€™s a mix of seeds spread on the ground at multiple feeding areas. The purpose of this is to provide seed-eating farmland birds with supplementary food when: seed is in short supply in the late winter period (known as the hungry gap) their breeding season starts in early spring</t>
  </si>
  <si>
    <t>from late winter until mid-spring there€™s a mix of seeds spread on the ground at multiple feeding areas. T</t>
  </si>
  <si>
    <t>You can only apply for this action if: action CAHL2 (winter bird food) or AHL2 in the SFI23 offer is included in your agreement the land you€™ve entered into CAHL2 is registered as €˜fully organic€™ or €˜in conversion€™ by a Defra-licensed organic control body If the land you€™ve entered into CAHL2 or AHL2 is not €˜fully organic€™ or €˜in conversion€™ you must apply for AHW2 (supplementary winter bird food) instead. This action is not available for equivalent actions in a Countryside Stewardship agreement. This includes: OP2 (wild bird seed mixture) AB9 (winter bird food) You must do this action on land that€™s: firm and free draining, such as farm tracks or hard standing areas close to areas of existing winter bird food, enhanced overwinter stubbles or game cover</t>
  </si>
  <si>
    <t>You must spread an organic winter supplementary feeding mix in a way that can reasonably be expected to achieve this action€™s aim, including: dividing the total weight of mix as equally as possible between the multiple feeding areas spreading the mix at least once a week from late winter until mid-spring in the following year (usually from early December to late April) You must use an organic winter supplementary feeding seed mix that contains both: cereals (not maize) these should make up no more than 70% of the total mix by weight small non-cereal seeds these should make up at least 30% of the total mix by weight, with no individual species being more than 50% of the non-cereal element by weight The small non-cereal seeds element must contain at least 3 of the following species: canary seed linseed oilseed rape red millet sunflowers white millet If organic seed is unavailable, you must apply to your organic control body for a derogation to use non-organic seed. You must not: use feed hoppers to supply more than around 10% of the seed mix during each feeding period (from late winter to mid-spring) use tailings (small seeds and chaff removed from the harvested crops) in the seed mix You must keep a written €˜feeding diary€™ which includes: details of the mix used, including the weight of the cereals and small non-cereal seeds elements and cost method of feeding spreading or hopper feeding dates amount fed location of feeding areas</t>
  </si>
  <si>
    <t>You must keep: a valid organic certificate and schedule for all land entered into this action this must cover at least the full period of this action€™s duration the required written feeding diary this can be recorded on paper or electronically If organic seed is unavailable, and you apply to your organic control body for a derogation, you must keep evidence of this. You must supply this evidence if we ask for it.</t>
  </si>
  <si>
    <t>OFA3 - Supplementary winter bird food (organic land)</t>
  </si>
  <si>
    <t>OFC4</t>
  </si>
  <si>
    <t>Organic conversion horticultural land</t>
  </si>
  <si>
    <t>This action€™s aim is that horticultural land used to produce vegetables or salad crops is converted from conventional management to organic management. The purpose of this is to increase the overall area of land registered and managed as organic.</t>
  </si>
  <si>
    <t>horticultural land used to produce vegetables or salad crops is converted from conventional management to organic management. T</t>
  </si>
  <si>
    <t>You can do this action on agricultural land located below the moorland line that€™s: registered as €˜in conversion€™ with a Defra-licensed organic control body used to grow at least 1 horticultural crop in each land parcel entered into this action an eligible land type (as defined in section 5.1 €˜Eligible land types for SFI €™ in the SFI scheme information) registered with an eligible land cover on your digital maps declared with a land use code which is compatible with the eligible land cover Land is not eligible for this action if you€™ve previously: registered it with an organic control body received organic conversion aid or funding for it Eligible land Eligible land type Eligible land cover Compatible land use code Arable land used to grow horticultural crops Arable land Land use codes for horticultural arable crops Permanent horticultural crops Permanent crops TC01 Permanent grassland where cultivation is part of the conversion plan Permanent grassland PG01 Eligibility of protected land Land or features with protection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Total or part of the available area in a land parcel. Rotational or static action For non-permanent horticultural crops grown on arable land this action is rotational. This means for the second year of organic conversion you can either: move its location do it at the same location For permanent horticultural crops, this action is static. This means you must do it at the same location each year of this action€™s duration.</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</si>
  <si>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AHW1, AHW3, AHW5, AHW11, AHW12, BFS1, BFS2, BFS4, WBD3, AGF1, AGF2, PRF1, PRF2, PRF3, CAHL1, CAHL2, CAHL3, CAHL4, CIPM1, CIPM2, CIPM3, CIPM4, CNUM1, CNUM3, CSAM1, CSAM2, SOH2, SOH3 SFI 2023 actions AHL1, AHL2, AHL3, AHL4, IPM1, IPM2, IPM3, IPM4, NUM1, NUM3, SAM1, SAM2 CS options AB3, AB5, AB8, AB11, AB16, BE1, HS3, HS9, SW1, SW3, SW4, SW6, WD3, WT2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</si>
  <si>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OFC4 - Organic conversion - horticultural land</t>
  </si>
  <si>
    <t>UPL4</t>
  </si>
  <si>
    <t>Keep cattle and ponies on moorland supplement (minimum 30% GLU)</t>
  </si>
  <si>
    <t>This supplemental action€™s aim is that at least 30% of the grazing livestock units ( GLU ) on moorland are cattle or ponies, or a combination of both. The purpose of this is to: create a more varied sward structure control scrub, bracken and coarse vegetation increase wildlife diversity</t>
  </si>
  <si>
    <t>at least 30% of the grazing livestock units ( GLU ) on moorland are cattle or ponies, or a combination of both. T</t>
  </si>
  <si>
    <t>You can only do this supplemental action on eligible land entered into one of the following base actions: UPL1: Moderate livestock grazing on moorland UPL2: Low livestock grazing on moorland UPL3: Limited livestock grazing on moorland If you apply for this supplemental action, you cannot apply for the following supplemental actions on the same area: UPL5: Keep cattle and ponies on moorland supplement (minimum 70% GLU ) UPL6: Keep cattle and ponies on moorland supplement (minimum 100% GLU ) Eligibility of protected land Protected land Eligibility Sites of special scientific interest ( SSSIs ) Same as your selected base action Historic and archaeological features Same as your selected base action Available area you can enter into this action This is the same as your selected base action. Rotational or static action This is the same as your selected base action.</t>
  </si>
  <si>
    <t>At least 30% of the GLU on land entered into UPL1, UPL2 or UPL3 must be cattle or ponies, or a combination of both. You must include the following information in the written stocking calendar required for UPL1, UPL2 and UPL3: dates you plan to graze the land parcel with cattle, ponies or both during each calendar month monthly numbers of cattle, ponies or both, including the age bracket for cattle</t>
  </si>
  <si>
    <t>UPL4 - Supplement: Keep cattle and ponies on moorland (minimum 30% GLU)</t>
  </si>
  <si>
    <t>UPL5</t>
  </si>
  <si>
    <t>Keep cattle and ponies on moorland supplement (minimum 70% GLU)</t>
  </si>
  <si>
    <t>This supplemental action€™s aim is that at least 70% of the grazing livestock units ( GLU ) on moorland are cattle or ponies, or a combination of both. The purpose of this is to: create a more varied sward structure control scrub, bracken and coarse vegetation increase wildlife diversity</t>
  </si>
  <si>
    <t>at least 70% of the grazing livestock units ( GLU ) on moorland are cattle or ponies, or a combination of both. T</t>
  </si>
  <si>
    <t>You can only do this supplemental action on eligible land entered into one of the following base actions: UPL1: Moderate livestock grazing on moorland UPL2: Low livestock grazing on moorland UPL3: Limited livestock grazing on moorland If you apply for this supplemental action, you cannot apply for the following supplemental actions on the same area: UPL4: Keep cattle and ponies on moorland supplement (minimum 30% GLU ) UPL6: Keep cattle and ponies on moorland supplement (minimum 100% GLU ) Eligibility of protected land Protected land Eligibility Sites of special scientific interest ( SSSIs ) Same as your selected base action Historic and archaeological features Same as your selected base action Available area you can enter into this action This is the same as your selected base action. Rotational or static action This is the same as your selected base action.</t>
  </si>
  <si>
    <t>At least 70% of the GLU on land entered into UPL1, UPL2 or UPL3 must be cattle or ponies, or a combination of both. You must include the following information in the written stocking calendar required for UPL1, UPL2 and UPL3: dates you plan to graze the land parcel with cattle, ponies or both during each calendar month monthly numbers of cattle, ponies or both, including the age bracket for cattle</t>
  </si>
  <si>
    <t>UPL5 - Supplement: Keep cattle and ponies on moorland (minimum 70% GLU)</t>
  </si>
  <si>
    <t>OFA1</t>
  </si>
  <si>
    <t>Overwinter stubble (organic land)</t>
  </si>
  <si>
    <t>This action€™s aim is that there€™s a post-harvest stubble with some green cover over the autumn and winter months. The purpose of this is to provide: a winter food source for seed-eating farmland birds foraging habitats for farmland wildlife</t>
  </si>
  <si>
    <t>there€™s a post-harvest stubble with some green cover over the autumn and winter months. T</t>
  </si>
  <si>
    <t>You can do this action on agricultural land located below the moorland line that€™s: identified by you as not being at risk of soil erosion or surface runoff you must keep evidence of this registered as €˜fully organic€™ or €˜in conversion€™ by a Defra-licensed organic control body an eligible land type (as defined in section 5.1 €˜Eligible land types for SFI €™ in the SFI scheme information) registered with an eligible land cover on your digital maps declared with a land use code which is compatible with the eligible land cover Eligible land Eligible land type Eligible land cover Compatible land use code Arable land used to grow cereals (not maize), oilseed rape or linseed Arable land Land use codes for arable crops Eligibility of protected land Land or features with protection Eligibility Sites of special scientific interest ( SSSIs ) Eligible you must get SSSI consent before you do this action (read section 10.3 €˜ SSSI consent€™ in the SFI scheme information to find out how to do this) Historic and archaeological features Eligible you must get a SFI HEFER before you do this action (read section 5.6 €˜Land with historic or archaeological features€™ in the SFI scheme information to find out how to do this) Available area you can enter into this action Total or part of the available area in a land parcel. Rotational or static action This action is rotational or static. This means you can either: move its location for the second and third years of this action€™s duration do it at the same location each year of this action€™s duration</t>
  </si>
  <si>
    <t>After harvest, you must: leave the stubble in each land parcel, establish a green overwinter cover crop on the stubble area (such as mustard or fodder radish) so it covers between approximately 10% to 50% of the area entered into this action You must maintain the stubble area (including the green overwinter cover crop) for a period of time that can reasonably be expected to achieve this action€™s aim. This will usually be until around mid-February. You must not do the following on the stubble area (including the green overwinter cover crop): top or graze it apply any fertilisers, manures or lime cultivate it after harvest</t>
  </si>
  <si>
    <t>You must do this action each year of its 3-year duration. If this action€™s start date means it€™s too late for you to do this action, you must start doing it within 12 months of the action€™s start date. In the final year of this action€™s duration, you must do this action until around mid-February or this action€™s end date, whichever is earlier.</t>
  </si>
  <si>
    <t>For all the land entered into this action, you must keep: written evidence that it€™s not at risk of soil erosion or surface runoff you can use the soil management plan produced for CSAM1 or SAM1 to identify this a valid organic certificate and schedule for it this must cover at least the full period of this action€™s duration You must also keep other evidence to show what you€™ve done to complete this action, such as: field operations at a land parcel level and associated invoices photographs or other documentation If it€™s not clear that you€™ve done this action in a way that could reasonably be expected to achieve its aim, we may ask for this evidence. You must supply the evidence if we ask for it.</t>
  </si>
  <si>
    <t>You can do the following actions or options on the same area in a land parcel as this action. Some actions or options can only be done on the same area if they€™re done at a different time of year to this action. For example, winter cover followed by a summer companion crop. Read €˜What to do€™ and €˜When to do it€™ to find out when this action must be done. Scheme Action or option codes SFI 2024 actions AHW10, OFC3, OFM4, AGF1, AGF2, PRF1, PRF2, PRF3, PRF4, SOH1, SOH2, SOH3, CIPM1, CIPM3, CIPM4, CNUM1, CSAM1 SFI 2023 actions IPM1, IPM3, IPM4, NUM1, SAM1 CS options AB14, OR3, OT3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</si>
  <si>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OFA1 - Overwinter stubble (organic land)</t>
  </si>
  <si>
    <t>where_you_can_do_this_action</t>
  </si>
  <si>
    <t>Land cover</t>
  </si>
  <si>
    <t>SSSI</t>
  </si>
  <si>
    <t>Hefer</t>
  </si>
  <si>
    <t>Static/Rotational</t>
  </si>
  <si>
    <t>Moorland Line</t>
  </si>
  <si>
    <t>Total or part</t>
  </si>
  <si>
    <t>Hedgerow</t>
  </si>
  <si>
    <t>land cover</t>
  </si>
  <si>
    <t>sssi consent</t>
  </si>
  <si>
    <t>sfi hefer</t>
  </si>
  <si>
    <t>Below</t>
  </si>
  <si>
    <t>No</t>
  </si>
  <si>
    <t>No - but can do partial</t>
  </si>
  <si>
    <t>what_to_do</t>
  </si>
  <si>
    <t>evidence_to_keep</t>
  </si>
  <si>
    <t>Field operations and Invioce</t>
  </si>
  <si>
    <t>Invioce</t>
  </si>
  <si>
    <t xml:space="preserve"> photographs or other documentation</t>
  </si>
  <si>
    <t>Seed mix</t>
  </si>
  <si>
    <t>Soil Management Plan</t>
  </si>
  <si>
    <t>Invoices</t>
  </si>
  <si>
    <t>Other documentation</t>
  </si>
  <si>
    <t>Grazing activity record</t>
  </si>
  <si>
    <t>FACTS/BASIS</t>
  </si>
  <si>
    <t>Feeding Diary</t>
  </si>
  <si>
    <t>Yes</t>
  </si>
  <si>
    <t>other_actions_or_options_you_can_do_with_this_action</t>
  </si>
  <si>
    <t>SFI 2024 actions OFC1, OFC2, OFM1, OFM2, AGF1, AGF2, PRF2, CIPM1, CNUM1, CSAM1 SFI 2023 actions IPM1, NUM1, SAM1 CS options OR1, OR2, OT1, OT2, SW15, SW16 ES options No ES revenue options SFI pilot standards No area-based SFI pilot standards If an action or option cannot be located on the same area, you may be able to do it on a different area in the same land parcel. You can do one of the following supplemental actions (unless indicated otherwise) on land entered into this base action: GRH7: Hay making supplement you can also do GRH11 on the same area as GRH7 GRH8: Hay making supplement (late cut) you can also do GRH11 on the same area as GRH8 GRH10 (lenient grazing supplement) GRH11: Cattle grazing supplement (non-moorland) you can also do GRH7 or GRH8 on the same area as GRH11 SPM2: Keep native breeds on grazed habitats supplement (50-80%) SPM3: Keep native breeds on grazed habitats supplement (more than 80%)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</si>
  <si>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OFC1, OFC3, OFM1, OFM4, AGF1, AGF2, CIPM1, CNUM1, PRF1, PRF2, PRF3, CSAM1 SFI 2023 actions IPM1, NUM1, SAM1 CS options OR1, OR3, OT1, OT3 ES options No ES revenue options SFI pilot standards No area 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</si>
  <si>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CSAM1, CNUM1, CIPM1, OFC2, OFM2 SFI 2023 actions IPM1, NUM1, SAM1 CS options OR2, OT2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one of the following supplemental actions (unless indicated otherwise) on land entered into this base action: GRH7: Hay making supplement you can also do GRH11 on the same area as GRH7 GRH8: Hay making supplement (late cut) you can also do GRH11 on the same area as GRH8 GRH11: Cattle grazing supplement (non-moorland) you can also do GRH7 or GRH8 on the same area as GRH11 SPM2: Keep native breeds on grazed habitats supplement (50-80%) SPM3: Keep native breeds on grazed habitats supplement (more than 80%)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</si>
  <si>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CSAM2, CSAM3, SOH1, SOH2, SOH3, SOH4, CAHL1, CAHL2, CAHL3, AHW1, AHW3, AHW4, AHW5, AHW6, AHW7, AHW8, AHW9, AHW10, AHW11, AHW12, CIGL1, CIGL2, CIGL3, GRH1, GRH6, HEF5, HEF6, CAHL4, CLIG3, BFS1, BFS2, BFS3, BFS4, BFS5, BFS6, OFC1, OFC2, OFC3, OFC4, OFC5, OFM1, OFM2, OFM4, OFM5, OFM6, OFA1, OFA6, WBD3, WBD4, WBD5, WBD6, WBD7, WBD8, AGF1, AGF2, PRF1, PRF2, PRF3, PRF4, CIPM1, CIPM2, CIPM3, CIPM4, CNUM1, CNUM2, CNUM3, SCR1, SCR2 SFI 2023 actions AHL1, AHL2, AHL3, AHL4, IGL1, IGL2, IGL3, IPM1, IPM2, IPM3, IPM4, LIG1, LIG2, NUM1, NUM2, NUM3, SAM2, SAM3 CS options AB1, AB2, AB3, AB5, AB6, AB7, AB8, AB9, AB10, AB11, AB13, AB14, AB15, AB16, BE1, BE2, BE4, BE5, GS1, GS2, GS3, GS4, GS5, GS6, GS7, GS8, GS9, GS10, GS11, GS12, GS13, GS14, HS3, HS4, HS7, HS9, CT1, CT2, CT3, CT4, CT5, CT7, LH1, LH2, LH3, WT6, WT7, WT8, WT9, WT10, OP1, OP2, OP4, OP5, OR1, OR2, OR3, OR4, OR5, OT1, OT2, OT3, OT4, OT5, SW1, SW2, SW3, SW4, SW5, SW6, SW7, SW8, SW9, SW10, SW12, SW13, SW15, SW16, SW17, SW18, WT1, WT2, UP2 (if located below the moorland line) ES options All ES revenue options SFI pilot standards SFI pilot arable and horticultural land  standard all levels SFI pilot improved grassland standard all levels SFI pilot low and no input grassland standard all levels SFI pilot water body buffering standard all levels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all levels of the SFI pilot hedgerows standard</t>
  </si>
  <si>
    <t>SFI 2024 actions AHW1, AHW5, AHW6, AHW7, AHW8, AHW10, AHW11, OFA1, OFA6, OFC1, OFC3, OFC4, OFC5, OFM1, OFM4, OFM5, OFM6, SOH4, WBD4, WBD5, WBD6, WBD7, WBD8, AGF1, AGF2, PRF2, PRF3, PRF4, SOH1, SOH2, SOH3, CAHL2, CIGL2, CIPM1, CIPM3, CIPM4, CNUM1, CNUM2, CSAM1, CSAM2, CSAM3 SFI 2023 actions AHL2, IGL2, IPM1, IPM3, IPM4, NUM1, NUM2, SAM1, SAM2, SAM3 CS options AB1, AB2, AB5, AB6, AB7, AB8, AB9, AB11, AB13, AB14, AB15, AB16, GS3, GS4, HS2, HS3, HS9, SW5, SW6, SW7, SW8, SW9, SW10, SW12, SW13, OP1, OP2, OP4, OP5, OR1, OR3, OR4, OR5, OT1, OT3, OT4, OT5 ES options No ES revenue options SFI pilot standards SFI pilot arable and horticultural soil standard all levels SFI pilot arable and horticultural land standard introductory and intermediate levels SFI pilot improved grassland standard introductory and intermediate levels SFI pilot improved grassland soils standard all levels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</si>
  <si>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AHW6, AHW7, OFA1, OFA6, OFC3, OFC4, OFC5, OFM4, OFM5, OFM6, SOH4, AGF1, AGF2, PRF1, PRF2, PRF3, PRF4, SOH1, SOH2, SOH3, CAHL2, CIPM1, CIPM3, CNUM1, CSAM1, CSAM2 SFI 2023 actions AHL2, IPM1, IPM3, NUM1, SAM1, SAM2 CS options AB2, AB9, HS3, HS9, OP1, OP2, OP5, OR3, OR4, OR5, OT3, OT4, OT5, SW5, SW6 ES options No ES revenue options SFI pilot standards SFI pilot arable and horticultural land standard all levels SFI pilot arable and horticultural soils standard all levels (*the other Arable CS options not contained in the table above prohibit the use of insecticides as part of the CS option, so cannot be located on the same area as CIPM4 as they€™re either incompatible or you€™d be paid twice for doing the same activity)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</si>
  <si>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actions Same as your selected base action CS options Same as your selected base action ES options Same as your selected base action SFI pilot standards Same as your selected base action If an action or option cannot be located on the same area, you may be able to do it on a different area in the same land parcel. Read section 6 €˜Eligible land in other funding schemes€™ in the SFI scheme information for more details.</t>
  </si>
  <si>
    <t>SFI 2024 actions All SFI 2024 actions, expect BND1 SFI 2023 actions All SFI 2023 actions, except HRW2 CS options All CS management options, except BE3 (management of hedgerows) ES options All ES revenue options, except boundary options SFI pilot standards All SFI pilot standards, except the SFI pilot hedgerows standard</t>
  </si>
  <si>
    <t>SFI 2024 actions OFC3, OFC4, OFC5, OFM4, OFM5, OFM6, AGF1, AGF2, PRF1, PRF2, PRF4, SOH1, SOH2, SOH3, CIPM1, CIPM3, CIPM4, CNUM1, CSAM1 SFI 2023 actions SAM1, IPM1, IPM3, IPM4, NUM1 CS options HS3, HS9, OR3, OR4, OR5, OT3, OT4, OT5 ES options No ES revenue options SFI pilot standards No area-based SFI pilot standards If an action or option cannot be located on the same area, you may be able to do it on a different area in the same land parcel. You can apply for one of the following supplemental actions if CAHL2 (or AHL2 in the SFI23 offer) is included in your agreement: AHW2: Supplementary winter bird food OFA3: Supplementary winter bird food (organic)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</si>
  <si>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AHW5, AHW10, AHW11, OFA6, OFC3, OFC4, OFM4, OFM5, AGF1, AGF2, PRF1, PRF2, PRF3, PRF4, SOH1, SOH2, SOH3, CIPM1, CIPM3, CIPM4, CNUM1, CSAM1 SFI 2023 actions IPM1, IPM3, IPM4, NUM1, SAM1 CS options AB5, AB11, AB14, HS3, HS9, OP5, OR3, OR4, OT3, OT4 ES options No ES revenue options SFI pilot standards No area 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</si>
  <si>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AHW6, AHW7, AHW8, AHW9, AHW10, OFA1, OFA6, OFC3, OFM4, SOH4, AGF1, AGF2, PRF1, PRF2, PRF3, PRF4, SOH2, SOH3, CAHL2, CIPM1, CIPM3, CIPM4, CNUM1, CSAM1, CSAM2, CIGL2 SFI 2023 actions AHL2, IPM1, IPM3, IPM4, NUM1, SAM1, SAM2, IGL2 CS options AB1, AB2, AB5, AB6, AB7, AB9, AB10, AB11, AB13, AB14, AB15, GS3, SW5, SW6, OP1, OP2, OP5, OR3, OT3 ES options No ES revenue options SFI pilot standards SFI pilot arable and horticultural soils standard introductory level If an action or option cannot be located on the same area, you may be able to do it on a different area in the same land parcel. See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</si>
  <si>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All SFI 2024 actions, except BND1 SFI 2023 actions All SFI 2023 actions, except HRW1 CS options All CS management options, including BE3 (management of hedgerows) ES options All ES revenue options SFI pilot standards All SFI pilot standards, including all levels of the SFI pilot hedgerows standard</t>
  </si>
  <si>
    <t>SFI 2024 actions OFC3, OFC4, OFC5, OFM4, OFM5, OFM6, AGF1, AGF2, PRF2, CIPM1, CNUM1, CSAM1 SFI 2023 actions IPM1, NUM1, SAM1 CS options OR3, OR4, OR5, OT3, OT4, OT5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</si>
  <si>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All SFI 2024 actions, except BND1 SFI 2023 actions All SFI 2023 actions, except HRW3 CS options All CS management options, including BE3 (management of hedgerows) ES options All ES revenue options, except boundary options SFI pilot standards All SFI pilot standards, except the SFI pilot hedgerows standard</t>
  </si>
  <si>
    <t>SFI 2024 actions No SFI 2024 actions SFI 2023 actions No SFI 2023 actions CS options No CS management options ES options No ES options SFI pilot standards No SFI pilot standards If an action or option cannot be located on the same area, you may be able to do it on a different area in the same land parcel. Read section 6. €˜Eligible land in other funding schemes€™ in the SFI scheme information for more details.</t>
  </si>
  <si>
    <t>SFI 2024 actions AHW6, OFA1, OFC3, OFM4, AGF1, AGF2, PRF1, PRF2, PRF3, PRF4, SOH1, CIPM1, CNUM1, CSAM1, CSAM2 SFI 2023 actions IPM1, NUM1, SAM1, SAM2 CS options AB2, AB5, AB6, AB9, HS3, HS9, SW6, OP1, OR3, OT3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</si>
  <si>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AHW6, OFA1, OFA6, OFC3, OFC4, OFM4, OFM5, AGF1, AGF2, PRF1, PRF2, PRF3, PRF4, SOH1, SOH2, CAHL2, CIPM1, CIPM3, CIPM4, CNUM1, CSAM1, CSAM2 SFI 2023 actions AHL2, IPM1, IPM3, IPM4, NUM1, SAM1, SAM2 CS options AB2, AB9, HS3, HS9, SW5, SW6, OP1, OP5, OR3, OR4, OT3, OT4 ES options No ES revenue options SFI pilot standards No area-based SFI pilot standards If an action or option cannot be located on the same area, you may be able to do it on a different area in the same land parcel. See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</si>
  <si>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OFC1, OFC3, OFM1, OFM4, AGF1, AGF2, PRF1, PRF2, CIPM1, CNUM1, CSAM1, SOH1 SFI 2023 actions IPM1, NUM1, SAM1 CS options HS3, HS9, OR1, OR3, OT1, OT3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</si>
  <si>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Same as base action SFI 2023 actions Same as base action CS options Same as base action ES options Same as base action SFI pilot standards Same as base action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</si>
  <si>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OFC1, OFC3, OFM1, OFM4, CIPM1, CNUM1, CSAM1 SFI 2023 actions IPM1, NUM1, SAM1 CS options SW15, SW16, OR1, OT1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</si>
  <si>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OFA1, OFC3, OFC4, OFC5, OFM4, OFM5, OFM6, AGF1, AGF2, PRF1, PRF2, PRF3, PRF4, SOH1, SOH2, SOH3, CAHL2, CIPM1, CIPM4, CNUM1, CSAM1, CSAM2 SFI 2023 actions AHL2, IPM1, IPM4, NUM1, SAM1, SAM2 CS options HS3, HS9, OP1, OR3, OR4, OR5, OT3, OT4, OT5, SW6 ES options No ES revenue options SFI pilot standards SFI pilot arable and horticultural soils standard all levels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</si>
  <si>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OFC3, OFC4, OFC5, OFM4 OFM5, OFM6, AGF1, AGF2, PRF2, CIPM1, CNUM1, CSAM1 SFI 2023 actions IPM1, NUM1, SAM1 CS options OR3, OR4, OR5, OT3, OT4, OT5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</si>
  <si>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OFC1, OFC3, OFM1, OFM4, AGF1, AGF2, PRF1, PRF2, CIPM1, CNUM1, CSAM1 SFI 2023 actions IPM1, NUM1, SAM1 CS options OR1, OR3, OT1, OT3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</si>
  <si>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No SFI revenue actions SFI 2023 actions No SFI revenue actions CS options No CS revenue options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t>
  </si>
  <si>
    <t>SFI 2024 actions AHW1, AHW3, AHW6, AHW7, AHW8, AHW9, AHW10, AHW11, AHW12, BFS1, BFS2, BFS3, OFA1, OFA6, OFC1, OFC3, OFC4, OFM1, OFM4, OFM5, SOH4, WBD3, WBD4, WBD5, WBD6, WBD7, WBD8, PRF1, PRF2, PRF3, PRF4, SOH1, SOH2, SOH3, CAHL1, CAHL2, CAHL3, CAHL4, CIGL1, CIGL2, CIGL3, CIPM1, CIPM2, CIPM3, CIPM4, CLIG3, CNUM1, CNUM2, CNUM3, CSAM1, CSAM2, CSAM3, HEF8 SFI 2023 actions AHL1, AHL2, AHL3, AHL4, IGL1, IGL2, IGL3, IPM1, IPM2, IPM3, IPM4, LIG1, LIG2, NUM1, NUM2, NUM3, SAM1, SAM2, SAM3 CS options AB1, AB2, AB3, AB6, AB7, AB8, AB9, AB10, AB11, AB13, AB14, AB15, AB16, GS2, GS3, GS4, GS5, HS6, SW1, SW2, SW3, SW4, SW5, SW6, SW7, SW8, SW9, SW10, SW13, SW15, SW16, WD3, WT1, WT2, OP1, OP2, OP4, OP5, OR1, OR3, OR4, OT1, OT3, OT4 ES options No ES revenue options SFI pilot standards No area-based SFI pilot standards If an action or option cannot be located on the same area, you may be able to do it on a different area in the same land parcel - Read section 6. €˜Eligible land in other funding schemes€™ for more information.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</si>
  <si>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OFC3, OFC4, OFC5, OFM4, OFM5, OFM6, AGF1, AGF2, PRF2, CSAM1, CIPM1, CNUM1 SFI 2023 actions SAM1, IPM1, NUM1 CS options OR3, OR4, OR5, OT3, OT4, OT5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</si>
  <si>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AHW1, AHW3, AHW6, AHW7, AHW8, AHW9, AHW10, AHW11, AHW12, BFS1, BFS2, BFS3, OFA1, OFA6, OFC1, OFC3, OFC4, OFM1, OFM4, OFM5, SOH4, WBD3, WBD4, WBD5, WBD6, WBD7, WBD8, PRF1, PRF2, PRF3, PRF4, SOH1, SOH2, SOH3, CAHL1, CAHL2, CAHL3, CAHL4, CIGL1, CIGL2, CIGL3, CIPM1, CIPM2, CIPM3, CIPM4, CLIG3, CNUM1, CNUM2, CNUM3, CSAM1, CSAM2, CSAM3, HEF8 SFI 2023 actions AHL1, AHL2, AHL3, AHL4, IGL1, IGL2, IGL3, IPM1, IPM2, IPM3, IPM4, LIG1, LIG2, NUM1, NUM2, NUM3, SAM1, SAM2, SAM3 CS options AB1, AB2, AB3, AB6, AB7, AB8, AB9, AB10, AB11, AB13, AB14, AB15, AB16, GS2, GS3, GS4, GS5, HS6, SW1, SW2, SW3, SW4, SW5, SW6, SW7, SW8, SW9, SW10, SW13, WD3, WT1, WT2, OP1, OP2, OP4, OP5, OR1, OR3, OR4, OT1, OT3, OT4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</si>
  <si>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actions All SFI actions, except CMOR1, MOR1 or NUM1 CS options All CS management options ES options All ES revenue options SFI pilot standards All SFI pilot standards</t>
  </si>
  <si>
    <t>SFI actions All SFI actions, except CMOR1 or MOR1 CS options All CS management options ES options All ES revenue options SFI pilot standards All SFI pilot standards</t>
  </si>
  <si>
    <t xml:space="preserve"> SFI actions Same as your selected base action CS options Same as your selected base action ES options Same as your selected base action SFI pilot standards Same as your selected base action If an action or option cannot be located on the same area, you may be able to do it on a different area in the same land parcel. Read section 6. €˜Eligible land in other funding schemes€™ in the SFI scheme information for more details.</t>
  </si>
  <si>
    <t>SFI 2024 actions OFC3, OFM4, SOH1, AGF1, AGF2, PRF2, PRF4, CIPM1, CNUM1, CSAM1 SFI 2023 actions IPM1, NUM1, SAM1 CS options HS3, HS9, SW5, SW6, OR3, OT3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</si>
  <si>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CIPM1, CNUM1, CSAM1 SFI 2023 actions IPM1, NUM1, SAM1 CS options No CS revenue options ES options No ES revenue options SFI pilot standards No area-based SFI pilot standards If an action or option cannot be located on the same area, you may be able to do it on a different area in the same land parcel. You can do one of the following supplemental actions on land entered into this base action: SPM4: Keep native breeds on extensively managed habitats supplement (50-80%) SPM5: Keep native breeds on extensively managed habitats supplement (more than 80%)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</si>
  <si>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AHW5, OFC3, OFM4, AGF1, AGF2, PRF1, PRF2, PRF3, PRF4, SOH1, CIPM1, CIPM4, CNUM1, CSAM1 SFI 2023 actions IPM1, NUM1, SAM1 CS options AB5, AB11, AB14, AB15, HS3, OR3, OT3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</si>
  <si>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actions Same as your selected base action CS options Same as your selected base action ES options Same as your selected base action SFI pilot standards Same as your selected base action If an action or option cannot be located on the same area, you may be able to do it on a different area in the same land parcel. Read section 6. €˜Eligible land in other funding schemes€™ in the SFI scheme information for more details.</t>
  </si>
  <si>
    <t>SFI 2024 actions OFC3, OFC4, OFC5, OFM4, OFM5, OFM6, AGF1, AGF2, PRF2, CIPM1, CNUM1, CSAM1 SFI 2023 actions IPM1, NUM1, SAM1 CS options OR3, OR4, OR5, OT3, OT4, OT5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</si>
  <si>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All SFI 2024 actions, except BND1 SFI 2023 actions All SFI 2023 actions CS options All CS management options, including BE3 (management of hedgerows) ES options All ES revenue options, except boundary options SFI pilot standards All SFI pilot standards, including all levels of the SFI pilot hedgerows standard If an action or option cannot be located on the same area, you may be able to do it on a different area in the same land parcel. Read section 6. €˜Eligible land in other funding schemes€™ in the SFI scheme information for more details.</t>
  </si>
  <si>
    <t>SFI 2024 actions OFC2, OFM2, CIPM1, CNUM1, CSAM1 SFI 2023 actions IPM1, NUM1, SAM1 CS options OR2, OT2, OT6 ES options No ES revenue options SFI pilot standards No area-based SFI pilot standards If an action or option cannot be located on the same area, you may be able to do it on a different area in the same land parcel. You can do one of the following supplemental actions on land entered into this base action: GRH11: Cattle grazing supplement (non-moorland) SPM4: Keep native breeds on extensively managed habitats supplement (50-80%) SPM5: Keep native breeds on extensively managed habitats supplement (more than 80%)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</si>
  <si>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CIPM1, CNUM1, CSAM1 SFI 2023 actions IPM1, NUM1, SAM1 CS options No CS revenue options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</si>
  <si>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OFC3, OFC4, OFC5, OFM4, OFM5, OFM6, AGF1, AGF2, PRF2, CIPM1, CNUM1, CSAM1 SFI 2023 actions IPM1, NUM1, SAM1 CS options OR3, OR4, OR5, OT3, OT4, OT5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</si>
  <si>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All SFI 2024 actions, except CHRW1, CHRW2, CHRW3 and WBD2 SFI 2023 actions All SFI 2023 actions, except HRW1, HRW2 and HRW3 CS options All CS management options, except BE3 ES options All ES revenue options, except boundary options SFI pilot standards All SFI pilot standards, except the SFI pilot hedgerows standard</t>
  </si>
  <si>
    <t>SFI 2024 actions Same as your selected base action SFI 2023 actions Same as your selected base action CS options Same as your selected base action ES options Same as your selected base action SFI pilot standards Same as your selected base action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</si>
  <si>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OFC3, OFM4, AGF1, AGF2, PRF1, PRF2, PRF3, PRF4, SOH1, SOH2, CIPM1, CIPM4, CNUM1, CSAM1 SFI 2023 actions IPM1, IPM4, NUM1, SAM1 CS options OR3, OT3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</si>
  <si>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OFC1, OFM1, AGF1, AGF2, PRF1, PRF2, CIPM1, CNUM1, CSAM1 SFI 2023 actions IPM1, NUM1, SAM1 CS options SW15, SW16, OR1, OT1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</si>
  <si>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OFC1, OFC3, OFM1, OFM4, AGF1, AGF2, PRF2, CIPM1, CNUM1, CSAM1 SFI 2023 actions IPM1, NUM1, SAM1 CS options OR1, OR3, OT1, OT3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</si>
  <si>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AHW5, AHW10, AHW11, OFC3, OFM4, AGF1, AGF2, PRF1, PRF2, PRF4, SOH1, SOH2, SOH3, CIPM1, CIPM4, CNUM1, CSAM1 SFI 2023 actions IPM1, IPM4, NUM1, SAM1 CS options AB5, AB7, AB9, AB10, AB11, AB13, AB14, AB15, HS3, OR3, OT3, SW5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</si>
  <si>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All SFI 2024 actions, except BND1 SFI 2023 actions All SFI 2023 actions CS options All CS management options ES options All ES revenue options, except boundary options SFI pilot standards All SFI pilot standards, except the SFI pilot hedgerows standard</t>
  </si>
  <si>
    <t>SFI 2024 actions OFC1, OFC2, OFM1, OFM2, AGF1, AGF2, PRF1, PRF2, CIGL3, CIPM1, CNUM1, CSAM1 SFI 2023 actions IPM1, NUM1, IGL3, SAM1 CS options SW16, OR1, OR2, OT1, OT2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</si>
  <si>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OFC1, OFM1, AGF1, AGF2, PRF1, PRF2, CIPM1, CNUM1, CSAM1 SFI 2023 actions IPM1, NUM1, SAM1 CS options OR1, OT1 ES options No ES revenue options SFI pilot standards No area-based SFI pilot standards If an action or option cannot be located on the same area, you may be able to do it on a different area in the same land parcel. You can do supplemental action WBD9: Nil fertiliser supplement on land entered into this action.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</si>
  <si>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OFC3, OFC4, OFM4, OFM5, AGF1, AGF2, PRF2, CIPM1, CNUM1, CSAM1 SFI 2023 actions IPM1, NUM1, SAM1 CS options OR3, OR4, OT3, OT4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</si>
  <si>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OFC3, OFM4, AGF1, AGF2, PRF1, PRF2, PRF3, PRF4, SOH1, CIPM1, CNUM1, CSAM1 SFI 2023 actions IPM1, NUM1, SAM1 CS options HS3, HS9, SW5, OR3, OT3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</si>
  <si>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OFC3, OFC4, OFM4, OFM5, AGF1, AGF2, CIPM1, CNUM1, CSAM1 SFI 2023 actions IPM1, NUM1, SAM1 CS options OR3, OR4, OT3, OT4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</si>
  <si>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AHW6, OFA1, OFA6, OFC3, OFC4, OFM4, OFM5, AGF1, AGF2, PRF1, PRF2, PRF3, PRF4, SOH1, SOH3, SOH4, CAHL2, CIPM1, CIPM3, CIPM4, CNUM1, CSAM1, CSAM2 SFI 2023 actions AHL2, IPM1, IPM3, IPM4, NUM1, SAM1, SAM2 CS options AB2, AB9, HS3, HS9, SW5, SW6, OP5, OR4, OP1, OR3, OT3, OT4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</si>
  <si>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OFC3, OFC4, OFM4, OFM5, AGF1, AGF2, PRF2, CSAM1, CIPM1, CNUM1, SFI 2023 actions IPM1, NUM1, SAM1 CS options OR3, OR4, OT3, OT4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</si>
  <si>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OFC1, OFC3, OFM1, OFM4, WBD7, AGF1, AGF2, PRF2, CIPM1, CNUM1, CSAM1 SFI 2023 actions IPM1, NUM1, SAM1 CS options SW10, OR1, OR3, OT1, OT3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</si>
  <si>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OFC1, OFC2, OFM1, OFM2, PRF2, CIPM1, CMOR1, CNUM1, CSAM1 SFI 2023 actions IPM1, MOR1, NUM1, SAM1 CS options OR1, OR2, OT1, OT2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</si>
  <si>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OFC3, OFC4, OFC5, OFM4, OFM5, OFM6, AGF1, AGF2, PRF1, PRF2, CIPM1, CNUM1, CSAM1 SFI 2023 actions IPM1, IPM4, NUM1, SAM1 CS options OR3, OR4, OR5, OT3, OT4, OT5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</si>
  <si>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OFC1, OFM1, AGF1, AGF2, PRF1, PRF2, CIPM1, CNUM1, CSAM1 SFI 2023 actions IPM1, NUM1, SAM1 CS options OR1, OT1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supplemental action WB9 (nil fertiliser supplement) on land entered into this action.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</si>
  <si>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AHW6, AHW7, OFC3, OFC4, OFM4, OFM5, PRF1, PRF2, PRF4, CIPM1, CNUM1, CSAM1, CSAM2 SFI 2023 actions IPM1, IPM4, NUM1, SAM1 CS options AB2, AB6, AB11, AB14, AB15, HS3, HS9, OR3, OR4, OT3, OT4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</si>
  <si>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AHW6, OFC3, OFC4, OFM4, OFM5, AGF1, AGF2, PRF1, PRF2, CIPM1, CNUM1, CSAM1, CSAM2 SFI 2023 actions IPM1, NUM1, SAM1, SAM2 CS options AB2, AB9, HS3, HS9, SW5, SW6, OR3, OR4, OT3, OT4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</si>
  <si>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OFC1, OFM1, AGF1, AGF2, PRF2, CMOR1 SFI 2023 actions MOR1 CS options WD2, OR1, OT1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</si>
  <si>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CSAM1, CNUM1, CIPM1, OFM4, OFC3 SFI 2023 actions SAM1, IPM4, NUM1, IPM1 CS options HS3, HS9, OR3, OT3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</si>
  <si>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OFC1, OFM1, PRF2, CIPM1, CNUM1, CSAM1 SFI 2023 actions IPM1, NUM1, SAM1 CS options OR1, OT1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</si>
  <si>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BFS3, BFS5, BFS6, HEF5, HEF6, WBD4, WBD5, WBD6, WBD7, WBD8, AGF1, AGF2, PRF1, PRF2, CIPM1, CIGL1, CIGL2, CIGL3, CLIG3, CNUM1, CNUM2, CSAM1, CSAM3 SFI 2023 actions IGL1, IGL2, IGL3, IPM1, LIG1, LIG2, NUM1, NUM2, SAM1, SAM3 CS options BE2, BE5, CT2, CT4, CT5, CT7, GS1, GS2, GS5, GS7, GS8, GS9, GS10, GS11, GS12, GS13, GS14, HS2, HS4, HS5, HS6, HS7, LH3, SW2, SW7, SW8, SW9, SW10, SW11, SW12, SW13, SW15, SW16, SW18, WD4, WD5, WD6, WD10, WD11, WD12, WT1, WT7, WT9, SP7 ES options No ES revenue options SFI pilot standards No area-based SFI pilot standards If an action or option cannot be located on the same area, you may be able to do it on a different area in the same land parcel. You can do one of the following supplemental actions on land entered into this base action: SPM2: Keep native breeds on grazed habitats supplement (50-80%) SPM3: Keep native breeds on grazed habitats supplement (more than 80%)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</si>
  <si>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GRH1, GRH6, HEF5, HEF6, WBD7, PRF2, CIPM1, CLIG3, CNUM1, CSAM1 SFI 2023 actions IPM1, LIG1, LIG2, NUM1, SAM1 CS options BE4, BE5, CT1, CT3, CT5, GS1, GS2, GS5, GS6, GS7, GS9, GS10, GS13, HS4, HS5, HS7, LH1, LH2, SW10, SW15, SW16, SW18, UP2, WD4, WD5, WD10, WD11, WT6, WT8, WT10, SP7 ES options No ES revenue options SFI pilot standards No area-based SFI pilot standards If an action or option cannot be located on the same area, you may be able to do it on a different area in the same land parcel. You can do one of the following supplemental actions on land entered into this base action: SPM2: Keep native breeds on grazed habitats supplement (50-80%) SPM3: Keep native breeds on grazed habitats supplement (more than 80%)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</si>
  <si>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HEF5, UPL7, UPL8, UPL9, UPL10, CMOR1 SFI 2023 actions MOR1 CS options HS4 ES options No ES revenue options SFI pilot standards No area-based SFI pilot standards If an action or option cannot be located on the same area, you may be able to do it on a different area in the same land parcel. You can do one of the following supplemental actions (unless indicated otherwise) on land entered into this action: UPL4: Keep cattle and ponies on moorland supplement (minimum 30% GLU ) you can also do SPM4 or SPM5 on the same area as UPL4 UPL5: Keep cattle and ponies on moorland supplement (minimum 70% GLU ) you can also do SPM4 or SPM5 on the same area as UPL5 UPL6: Keep cattle and ponies on moorland supplement (100% GLU ) you can also do SPM4 or SPM5 on the same area as UPL6 SPM4: Keep native breeds on extensively managed habitats supplement (50-80%) you can also do UPL4 or UPL5 or UPL6 on the same area as SPM4 SPM5: Keep native breeds on extensively managed habitats supplement (more than 80%) you can also do UPL4 or UPL5 or UPL6 on the same area as SPM5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</si>
  <si>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OFC3, OFC4, OFM4, OFM5, AGF1, AGF2, PRF2, CIPM1, CNUM1, CSAM1 SFI 2023 actions IPM1, NUM1, SAM1 CS options OR3, OR4, OT3, OT4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</si>
  <si>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AHW5, AHW6, AHW7, AHW8, AHW9, AHW10, OFA1, OFA6, OFC3, OFM4, SOH4, AGF1, AGF2, PRF1, PRF2, SOH1, SOH2, SOH3, CAHL2, CIPM1, CIPM3, CIPM4, CNUM1, CSAM1, CSAM2 SFI 2023 actions AHL2, IPM1, IPM3, IPM4, NUM1, SAM1, SAM2 CS options AB2, AB5, AB6, AB7, AB10, AB14, HS3, HS9, SW5, SW6, SW12, OP1, OP2, OP4, OP5, OR3, OT3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</si>
  <si>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OFC1, OFM1, AGF1, AGF2, PRF2, CIPM1, CNUM1, CSAM1 SFI 2023 actions IPM1, NUM1, SAM1 CS options SW15, SW16, OR1, OT1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</si>
  <si>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HEF5, HEF6, HEF8, OFM3, UPL1, UPL2, UPL3, UPL7, UPL8, UPL9, UPL10 (if located above the moorland line) SFI 2023 actions None CS options All CS management options (if located above the moorland line) ES options All ES revenue options (if located above the moorland line) SFI pilot standards No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and BND2 SFI 2023 actions: HRW1, HRW2, HRW3 CS option BE3 (management of hedgerows) the introductory level of the SFI pilot hedgerows standard</t>
  </si>
  <si>
    <t>SFI 2024 actions OFC3, OFC4, OFM4, OFM5, PRF2, CIPM1, CNUM1, CSAM1 SFI 2023 actions IPM1, NUM1, SAM1 CS options OR3, OR4, OT3, OT4 ES options No ES revenue options SFI pilot standards No area-based SFI pilot standards If an action or option cannot be located on the same area, you may be able to do it on a different area in the same land parcel. Read section 6. €˜Eligible land in other funding schemes€™ in the SFI scheme information for more details.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</si>
  <si>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Scheme Action or option code SFI 2024 actions HEF5, UPL7, UPL8, UPL9, UPL10, CMOR1 SFI 2023 actions MOR1 CS options HS4 ES options No ES revenue options SFI pilot standards No area-based SFI pilot standards If an action or option cannot be located on the same area, you may be able to do it on a different area in the same land parcel. You can do one of the following supplemental actions (unless indicated otherwise) on land entered into this action: UPL4: Keep cattle and ponies on moorland supplement (minimum 30% GLU ) you can also do SPM4 or SPM5 on the same area as UPL4 UPL5: Keep cattle and ponies on moorland supplement (minimum 70% GLU ) you can also do SPM4 or SPM5 on the same area as UPL5 UPL6: Keep cattle and ponies on moorland supplement (100% GLU ) you can also do SPM4 or SPM5 on the same area as UPL6 SPM4: Keep native breeds on extensively managed habitats supplement (50-80%) you can also do UPL4 or UPL5 or UPL6 on the same area as SPM4 SPM5: Keep native breeds on extensively managed habitats supplement (more than 80%) you can also do UPL4 or UPL5 or UPL6 on the same area as SPM5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</si>
  <si>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OFC1, OFC2, OFM1, OFM2, OFM3, PRF2, UPL1, UPL2, UPL3, UPL7, UPL8, UPL9, UPL10, CIPM1, CNUM1, CMOR1, CSAM1 SFI 2023 actions IPM1, NUM1, MOR1, SAM1 CS options UP1, OR1, OR2, OT1, OT2, OT6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</si>
  <si>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BFS3, BFS5, BFS6, HEF5, HEF6, HEF8, WBD4, WBD5, WBD6, WBD7, WBD8, AGF1, AGF2, PRF1, PRF2, CIGL1, CIGL2, CIGL3, CLIG3, CIPM1, CNUM1, CNUM2, CSAM1, CSAM3 SFI 2023 actions IGL1, IGL2, IGL3, LIG1, LIG2, IPM1, NUM1, NUM2, SAM1, SAM3 CS options BE2, BE5, CT2, CT4, CT5, CT7, GS1, GS2, GS5, GS7, GS8, GS9, GS10, GS11, GS12, GS13, GS14, HS2, HS4, HS5, HS6, HS7, LH3, SW2, SW7, SW8, SW9, SW10, SW11, SW12, SW13, SW15, SW16, WD4, WD5, WD6, WD10, WD11, WD12, WT1, WT7, WT9, SP7 ES options No ES revenue options SFI pilot standards No area-based SFI pilot standards If an action or option cannot be located on the same area, you may be able to do it on a different area in the same land parcel. You can do one of the following supplemental actions on land entered into this base action: SPM2: Keep native breeds on grazed habitats supplement (50-80%) SPM3: Keep native breeds on grazed habitats supplement (more than 80%)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</si>
  <si>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AHW1, AHW3, AHW4, AHW5, AHW6, AHW7, AHW8, AHW9, AHW10, AHW11, AHW12, BFS1, BFS2, BFS4, BFS6, OFA1, OFA6, SOH4, WBD3, WBD8, AGF1, AGF2, PRF1, PRF2, PRF3, PRF4, SOH1, SOH2, SOH3, CAHL1, CAHL2, CAHL3, CAHL4, CIGL1, CIGL2, CIGL3, CIPM1, CIPM2, CIPM3, CIPM4, CNUM1, CNUM2, CNUM3, CSAM1, CSAM2, CSAM3 SFI 2023 actions AHL1, AHL2, AHL3, AHL4, IGL1, IGL2, IGL3, IPM1, IPM2, IPM3, IPM4, NUM1, NUM2, NUM3, SAM1, SAM2, SAM3 CS options AB3, AB5, AB6, AB7, AB8, AB10, AB11, AB13, AB14, AB16, BE1, GS3, HS3, HS9, SW1, SW2, SW3, SW4, SW5, SW6, SW11, SW13, WD3, WT2, OP1, OP2, OP4, OP5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</si>
  <si>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AHW1, AHW3, AHW5, AHW6, AHW7, AHW8, AHW9, AHW10, AHW11, BFS1, BFS2, BFS3, BFS4, BFS5, HEF5, HEF6, HEF8, OFA1, OFA6, OFC1, OFC2, OFC3, OFC4, OFC5, OFM1, OFM2, OFM4, OFM5, OFM6, SOH4, WBD3, WBD4, WBD5, WBD6, WBD7, WBD8, AGF1, AGF2, PRF1, PRF3, PRF4, SOH1, SOH2, SOH3, CAHL1, CAHL2, CAHL3, CAHL4, CIGL1, CIGL2, CIGL3, CIPM1, CIPM2, CIPM3, CIPM4, CLIG3, CNUM1, CNUM2, CNUM3, CSAM1, CSAM2, CSAM3 SFI 2023 actions AHL1, AHL2, AHL3, AHL4, IGL1, IGL2, ILG3, IPM1, IPM2, IPM3, IPM4, LIG1, LIG2, NUM1, NUM2, NUM3, SAM1, SAM2, SAM3 CS options AB1, AB2, AB3, AB5, AB6, AB7, AB8, AB9, AB10, AB11, AB13, AB14, AB15, AB16, BE1, BE2, GS1, GS2, GS3, GS4, GS5, HS2, HS3, HS4, HS5, HS6, HS9, SW1, SW2, SW3, SW4, SW5, SW6, SW7, SW8, SW9, SW10, SW13, SW15, SW16, WT1, WT2, OP1, OP2, OP4, OP5, OR1, OR2, OR3, OR4, OR5, OT1, OT2, OT3, OT4, OT5 ES options No ES revenue options SFI pilot standards SFI pilot arable and horticultural soil standard all levels SFI pilot arable and horticultural land standard all levels SFI pilot improved grassland standard all levels SFI pilot improved grassland soils standard all levels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</si>
  <si>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AHW1, PRF1, PRF2, CAHL1, CAHL2, CAHL3, CAHL4, CIPM1, CIPM2, CIPM3, CIPM4, CNUM1, CNUM3, CSAM1, PRF3 SFI 2023 actions AHL1, AHL2, AHL3, AHL4, IPM1, IPM2, IPM3, IPM4, NUM1, NUM3, SAM1 CS options AB8, AB16, BE4, BE5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</si>
  <si>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HEF5, UPL1, UPL2, UPL3, CMOR1 SFI 2023 actions MOR1 CS options HS4 ES options No ES revenue options SFI pilot standards No area-based SFI pilot standards If an action or option cannot be located on the same area, you may be able to do it on a different area in the same land parcel. You can do one of the following supplemental actions on land entered into this action: SPM4: Keep native breeds on extensively managed habitats supplement (50-80%) SPM5: Keep native breeds on extensively managed habitats supplement (more than 80%) You can do the following actions or options on the eligible boundaries of a land parcel entered into this action: SFI 2024 actions: CHRW1, CHRW2, CHRW3, BND1, BND2 and WBD2 SFI 2023 actions: HRW1, HRW2, HRW3 CS option BE3 (management of hedgerows) introductory level of the SFI pilot hedgerows standard</t>
  </si>
  <si>
    <t>SFI 2024 actions AHW7, AHW8, AHW10, OFA1, OFA6, OFC3, OFC4, OFC5, OFM4, OFM5, OFM6, SOH4, AGF1, AGF2, PRF1, PRF2, SOH1, SOH2, SOH3, CIPM1, CIPM3, CIPM4, CNUM1, CSAM1, CSAM2, CSAM3 SFI 2023 actions IPM1, IPM3, IPM4, NUM1, SAM1, SAM2, SAM3 CS options AB6, AB7, AB13, AB14, GS3, SW5, SW6, SW12, OP1, OP5, OR3, OR4, OR5, OT3, OT4, OT5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</si>
  <si>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AHW1, AHW3, AHW5, AHW11, AHW12, BFS1, BFS2, BFS4, WBD3, AGF1, AGF2, PRF1, PRF2, PRF3, CAHL1, CAHL2, CAHL3, CAHL4, CIPM1, CIPM2, CIPM3, CIPM4, CNUM1, CNUM3, CSAM1, CSAM2 SFI 2023 actions AHL1, AHL2, AHL3, AHL4, IPM1, IPM2, IPM3, IPM4, NUM1, NUM3, SAM1, SAM2 CS options AB3, AB5, AB8, AB11, AB16, BE1, HS3, HS9, SW1, SW3, SW4, SW6, WD3, WT2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</si>
  <si>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actions Same as your selected base action CS options Same as your selected base action ES options Same as your selected base action SFI pilot standards Same as your selected base action If an action or option cannot be located on the same area, you may be able to do it on a different area in the same land parcel. You can do one of the following supplemental actions on the same area as this supplemental action: SPM4: Keep native breeds on extensively managed habitats supplement (50-80%) SPM5: Keep native breeds on extensively managed habitats supplement (more than 80%)</t>
  </si>
  <si>
    <t>SFI 2024 actions OFC3, OFM4, AGF1, AGF2, PRF1, PRF2, PRF3, PRF4, SOH1, CIPM1, CIPM4, CNUM1, CSAM1, CSAM2, SOH2, SOH3 SFI 2023 actions IPM1, IPM4, NUM1, SAM1, SAM2 CS options HS3, HS9, OR3, OT3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</si>
  <si>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HEF5, UPL1, UPL2, UPL3, CMOR1 SFI 2023 actions MOR1 CS options HS4 ES options No ES revenue options SFI pilot standards No area-based SFI pilot standards If an action or option cannot be located on the same area, you may be able to do it on a different area in the same land parcel. You can do one of the following supplemental actions on land entered into this action: SPM4: Keep native breeds on extensively managed habitats supplement (50-80%) SPM5: Keep native breeds on extensively managed habitats supplement (more than 80%)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</si>
  <si>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HEF5, CMOR1 SFI 2023 actions MOR1 CS options UP1, UP2 ES options No ES revenue options SFI pilot standards No area-based SFI pilot standards If an action or option cannot be located on the same area, you may be able to do it on a different area in the same land parcel. You can do one of the following supplemental actions on land entered into this base action: SPM4: Keep native breeds on extensively managed habitats supplement (50-80%) SPM5: Keep native breeds on extensively managed habitats supplement (more than 80%)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</si>
  <si>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AHW1, AHW3, AHW5, AHW11, AHW12, BFS1, BFS2, BFS4, WBD3, AGF1, AGF2, PRF1, PRF2, PRF3, CAHL1, CAHL2, CAHL3, CAHL4, CIPM1, CIPM2, CIPM3, CIPM4, CNUM1, CNUM3, CSAM1, CSAM2, SOH2, SOH3 SFI 2023 actions AHL1, AHL2, AHL3, AHL4, IPM1, IPM2, IPM3, IPM4, NUM1, NUM3, SAM1, SAM2 CS options AB3, AB5, AB8, AB11, AB16, BE1, HS3, HS9, SW1, SW3, SW4, SW6, WD3, WT2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</si>
  <si>
    <t>SFI 2024 actions AHW10, OFC3, OFM4, AGF1, AGF2, PRF1, PRF2, PRF3, PRF4, SOH1, SOH2, SOH3, CIPM1, CIPM3, CIPM4, CNUM1, CSAM1 SFI 2023 actions IPM1, IPM3, IPM4, NUM1, SAM1 CS options AB14, OR3, OT3 ES options No ES revenue options SFI pilot standards No area-based SFI pilot standards If an action or option cannot be located on the same area, you may be able to do it on a different area in the same land parcel. You can do the following actions or options on the eligible boundaries of a land parcel entered into this action: SFI 2024 actions: CHRW1, CHRW2, CHRW3, BND1, BND2 and WBD2 SFI 2023 actions: HRW1, HRW2, HRW3 CS option BE3 (management of hedgerows) the introductory level of the SFI pilot hedgerows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</si>
</sst>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Red]\-&quot;£&quot;#,##0"/>
    <numFmt numFmtId="165" formatCode="&quot;£&quot;#,##0.00;[Red]\-&quot;£&quot;#,##0.00"/>
  </numFmts>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wrapText="1"/>
    </xf>
    <xf numFmtId="0" fontId="16" fillId="0" borderId="0" xfId="0" applyFont="1"/>
    <xf numFmtId="0" fontId="16" fillId="33" borderId="0" xfId="0" applyFont="1" applyFill="1"/>
    <xf numFmtId="0" fontId="0" fillId="33" borderId="0" xfId="0" applyFill="1"/>
    <xf numFmtId="0" fontId="16" fillId="0" borderId="0" xfId="0" applyFont="1" applyAlignment="1">
      <alignment wrapText="1"/>
    </xf>
    <xf numFmtId="0" fontId="18" fillId="0" borderId="0" xfId="0" applyFont="1" applyAlignment="1">
      <alignment vertical="center"/>
    </xf>
    <xf numFmtId="14" fontId="0" fillId="0" borderId="0" xfId="0" applyNumberFormat="1"/>
    <xf numFmtId="0" fontId="0" fillId="0" borderId="0" xfId="0" applyAlignment="1">
      <alignment horizontal="center"/>
    </xf>
    <xf numFmtId="0" fontId="16" fillId="0" borderId="0" xfId="0" applyFont="1" applyAlignment="1">
      <alignment horizontal="center"/>
    </xf>
    <xf numFmtId="164" fontId="0" fillId="0" borderId="0" xfId="0" applyNumberForma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p000213\Downloads\SQL%20script%207%20(1).csv" TargetMode="External"/><Relationship Id="rId1" Type="http://schemas.openxmlformats.org/officeDocument/2006/relationships/externalLinkPath" Target="file:///C:\Users\jp000213\Downloads\SQL%20script%207%20(1).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QL script 7 (1)"/>
    </sheetNames>
    <sheetDataSet>
      <sheetData sheetId="0"/>
      <sheetData sheetId="1">
        <row r="4">
          <cell r="D4" t="str">
            <v>HS7</v>
          </cell>
          <cell r="E4" t="str">
            <v>HS7 - Management of historic water meadows through traditional irrigation</v>
          </cell>
          <cell r="F4" t="str">
            <v>Revenue - Historic Environment and Landscape</v>
          </cell>
        </row>
        <row r="5">
          <cell r="D5" t="str">
            <v>HS7</v>
          </cell>
          <cell r="E5" t="str">
            <v>HS7 - Management of historic water meadows through traditional irrigation</v>
          </cell>
          <cell r="F5" t="str">
            <v>Revenue - Historic Environment and Landscape</v>
          </cell>
        </row>
        <row r="6">
          <cell r="D6" t="str">
            <v>HS7</v>
          </cell>
          <cell r="E6" t="str">
            <v>HS7 - Management of historic water meadows through traditional irrigation</v>
          </cell>
          <cell r="F6" t="str">
            <v>Revenue - Historic Environment and Landscape</v>
          </cell>
        </row>
        <row r="7">
          <cell r="D7" t="str">
            <v>SB2</v>
          </cell>
          <cell r="E7" t="str">
            <v>SB2 - Scrub control - difficult sites</v>
          </cell>
          <cell r="F7" t="str">
            <v>Capital - Woodland and Scrub</v>
          </cell>
        </row>
        <row r="8">
          <cell r="D8" t="str">
            <v>SCR1</v>
          </cell>
          <cell r="E8" t="str">
            <v>SCR1 - Create scrub and open habitat mosaics</v>
          </cell>
          <cell r="F8" t="str">
            <v>Revenue - Successional areas and scrub</v>
          </cell>
        </row>
        <row r="9">
          <cell r="D9" t="str">
            <v>CUP10</v>
          </cell>
          <cell r="E9" t="str">
            <v>CUP10 - Limited livestock grazing on moorland</v>
          </cell>
          <cell r="F9" t="str">
            <v>Revenue - Moorland</v>
          </cell>
        </row>
        <row r="10">
          <cell r="D10" t="str">
            <v>HS7</v>
          </cell>
          <cell r="E10" t="str">
            <v>HS7 - Management of historic water meadows through traditional irrigation</v>
          </cell>
          <cell r="F10" t="str">
            <v>Revenue - Historic Environment and Landscape</v>
          </cell>
        </row>
        <row r="11">
          <cell r="D11" t="str">
            <v>FG6</v>
          </cell>
          <cell r="E11" t="str">
            <v>FG6 - Invisible fencing system</v>
          </cell>
          <cell r="F11" t="str">
            <v>Capital - Lowland Heathland</v>
          </cell>
        </row>
        <row r="12">
          <cell r="D12" t="str">
            <v>AH3S</v>
          </cell>
          <cell r="E12" t="str">
            <v>AH3S - Arable and Horticultural soil</v>
          </cell>
          <cell r="F12" t="str">
            <v>Revenue - ELMS</v>
          </cell>
        </row>
        <row r="13">
          <cell r="D13" t="str">
            <v>AL1A</v>
          </cell>
          <cell r="E13" t="str">
            <v>AL1A - Arable and Horticultural Land</v>
          </cell>
          <cell r="F13" t="str">
            <v>Revenue - ELMS</v>
          </cell>
        </row>
        <row r="14">
          <cell r="D14" t="str">
            <v>WB2C</v>
          </cell>
          <cell r="E14" t="str">
            <v>WB2C - In Field Buffer Strip</v>
          </cell>
          <cell r="F14" t="str">
            <v>Revenue - ELMS</v>
          </cell>
        </row>
        <row r="15">
          <cell r="D15" t="str">
            <v>AL1A</v>
          </cell>
          <cell r="E15" t="str">
            <v>AL1A - Arable and Horticultural Land</v>
          </cell>
          <cell r="F15" t="str">
            <v>Revenue - ELMS</v>
          </cell>
        </row>
        <row r="16">
          <cell r="D16" t="str">
            <v>WB2C</v>
          </cell>
          <cell r="E16" t="str">
            <v>WB2C - In Field Buffer Strip</v>
          </cell>
          <cell r="F16" t="str">
            <v>Revenue - ELMS</v>
          </cell>
        </row>
        <row r="17">
          <cell r="D17" t="str">
            <v>AL1A</v>
          </cell>
          <cell r="E17" t="str">
            <v>AL1A - Arable and Horticultural Land</v>
          </cell>
          <cell r="F17" t="str">
            <v>Revenue - ELMS</v>
          </cell>
        </row>
        <row r="18">
          <cell r="D18" t="str">
            <v>OFC2</v>
          </cell>
          <cell r="E18" t="str">
            <v>OFC2 - Organic conversion - unimproved permanent grassland</v>
          </cell>
          <cell r="F18" t="str">
            <v>Revenue - Organic</v>
          </cell>
        </row>
        <row r="19">
          <cell r="D19" t="str">
            <v>OP2</v>
          </cell>
          <cell r="E19" t="str">
            <v>OP2 - Wild bird seed mixture</v>
          </cell>
          <cell r="F19" t="str">
            <v>Revenue - Options exclusive to Organic land</v>
          </cell>
        </row>
        <row r="20">
          <cell r="D20" t="str">
            <v>CGS22</v>
          </cell>
          <cell r="E20" t="str">
            <v>CGS22 - Manage priority habitat species-rich grassland</v>
          </cell>
          <cell r="F20" t="str">
            <v>Revenue - Grassland</v>
          </cell>
        </row>
        <row r="21">
          <cell r="D21" t="str">
            <v>OP2</v>
          </cell>
          <cell r="E21" t="str">
            <v>OP2 - Wild bird seed mixture</v>
          </cell>
          <cell r="F21" t="str">
            <v>Revenue - Options exclusive to Organic land</v>
          </cell>
        </row>
        <row r="22">
          <cell r="D22" t="str">
            <v>OP2</v>
          </cell>
          <cell r="E22" t="str">
            <v>OP2 - Wild bird seed mixture</v>
          </cell>
          <cell r="F22" t="str">
            <v>Revenue - Options exclusive to Organic land</v>
          </cell>
        </row>
        <row r="23">
          <cell r="D23" t="str">
            <v>OP2</v>
          </cell>
          <cell r="E23" t="str">
            <v>OP2 - Wild bird seed mixture</v>
          </cell>
          <cell r="F23" t="str">
            <v>Revenue - Options exclusive to Organic land</v>
          </cell>
        </row>
        <row r="24">
          <cell r="D24" t="str">
            <v>OFM3</v>
          </cell>
          <cell r="E24" t="str">
            <v>OFM3 - Organic land management - enclosed rough grazing</v>
          </cell>
          <cell r="F24" t="str">
            <v>Revenue - Organic</v>
          </cell>
        </row>
        <row r="25">
          <cell r="D25" t="str">
            <v>SB1F</v>
          </cell>
          <cell r="E25" t="str">
            <v>SB1F - Scrub Control and Felling Diseased Trees</v>
          </cell>
          <cell r="F25" t="str">
            <v>Capital - Woodland and Scrub</v>
          </cell>
        </row>
        <row r="26">
          <cell r="D26" t="str">
            <v>OT5</v>
          </cell>
          <cell r="E26" t="str">
            <v>OT5 - Organic Land Management - Top Fruit</v>
          </cell>
          <cell r="F26" t="str">
            <v>Revenue - Organic maintenance</v>
          </cell>
        </row>
        <row r="27">
          <cell r="D27" t="str">
            <v>WN10</v>
          </cell>
          <cell r="E27" t="str">
            <v>WN10 - Construction of water penning structures</v>
          </cell>
          <cell r="F27" t="str">
            <v>Capital - Wetlands</v>
          </cell>
        </row>
        <row r="28">
          <cell r="D28" t="str">
            <v>OT5</v>
          </cell>
          <cell r="E28" t="str">
            <v>OT5 - Organic Land Management - Top Fruit</v>
          </cell>
          <cell r="F28" t="str">
            <v>Revenue - Organic maintenance</v>
          </cell>
        </row>
        <row r="29">
          <cell r="D29" t="str">
            <v>OT5</v>
          </cell>
          <cell r="E29" t="str">
            <v>OT5 - Organic Land Management - Top Fruit</v>
          </cell>
          <cell r="F29" t="str">
            <v>Revenue - Organic maintenance</v>
          </cell>
        </row>
        <row r="30">
          <cell r="D30" t="str">
            <v>SB1F</v>
          </cell>
          <cell r="E30" t="str">
            <v>SB1F - Scrub Control and Felling Diseased Trees</v>
          </cell>
          <cell r="F30" t="str">
            <v>Capital - Woodland and Scrub</v>
          </cell>
        </row>
        <row r="31">
          <cell r="D31" t="str">
            <v>RP14</v>
          </cell>
          <cell r="E31" t="str">
            <v>RP14 - Yard inspection pit</v>
          </cell>
          <cell r="F31" t="str">
            <v>Capital - Soil and Water</v>
          </cell>
        </row>
        <row r="32">
          <cell r="D32" t="str">
            <v>AB10</v>
          </cell>
          <cell r="E32" t="str">
            <v>AB10 - Unharvested cereal headland</v>
          </cell>
          <cell r="F32" t="str">
            <v>Revenue - Arable</v>
          </cell>
        </row>
        <row r="33">
          <cell r="D33" t="str">
            <v>HS2A</v>
          </cell>
          <cell r="E33" t="str">
            <v>HS2A - Hedgerow</v>
          </cell>
          <cell r="F33" t="str">
            <v>Revenue - ELMS</v>
          </cell>
        </row>
        <row r="34">
          <cell r="D34" t="str">
            <v>IG3A</v>
          </cell>
          <cell r="E34" t="str">
            <v>IG3A - Improved Grassland</v>
          </cell>
          <cell r="F34" t="str">
            <v>Revenue - ELMS</v>
          </cell>
        </row>
        <row r="35">
          <cell r="D35" t="str">
            <v>IG3A</v>
          </cell>
          <cell r="E35" t="str">
            <v>IG3A - Improved Grassland</v>
          </cell>
          <cell r="F35" t="str">
            <v>Revenue - ELMS</v>
          </cell>
        </row>
        <row r="36">
          <cell r="D36" t="str">
            <v>IG3A</v>
          </cell>
          <cell r="E36" t="str">
            <v>IG3A - Improved Grassland</v>
          </cell>
          <cell r="F36" t="str">
            <v>Revenue - ELMS</v>
          </cell>
        </row>
        <row r="37">
          <cell r="D37" t="str">
            <v>IG3A</v>
          </cell>
          <cell r="E37" t="str">
            <v>IG3A - Improved Grassland</v>
          </cell>
          <cell r="F37" t="str">
            <v>Revenue - ELMS</v>
          </cell>
        </row>
        <row r="38">
          <cell r="D38" t="str">
            <v>HS2A</v>
          </cell>
          <cell r="E38" t="str">
            <v>HS2A - Hedgerow</v>
          </cell>
          <cell r="F38" t="str">
            <v>Revenue - ELMS</v>
          </cell>
        </row>
        <row r="39">
          <cell r="D39" t="str">
            <v>AB10</v>
          </cell>
          <cell r="E39" t="str">
            <v>AB10 - Unharvested cereal headland</v>
          </cell>
          <cell r="F39" t="str">
            <v>Revenue - Arable</v>
          </cell>
        </row>
        <row r="40">
          <cell r="D40" t="str">
            <v>TE9</v>
          </cell>
          <cell r="E40" t="str">
            <v>TE9 - Parkland Tree Guard - welded steel</v>
          </cell>
          <cell r="F40" t="str">
            <v>Capital - Woodland and Scrub</v>
          </cell>
        </row>
        <row r="41">
          <cell r="D41" t="str">
            <v>CSP5</v>
          </cell>
          <cell r="E41" t="str">
            <v>CSP5 - Shepherding (non-moorland)</v>
          </cell>
          <cell r="F41" t="str">
            <v>Revenue - Grassland</v>
          </cell>
        </row>
        <row r="42">
          <cell r="D42" t="str">
            <v>HS2A</v>
          </cell>
          <cell r="E42" t="str">
            <v>HS2A - Hedgerow</v>
          </cell>
          <cell r="F42" t="str">
            <v>Revenue - ELMS</v>
          </cell>
        </row>
        <row r="43">
          <cell r="D43" t="str">
            <v>TE9</v>
          </cell>
          <cell r="E43" t="str">
            <v>TE9 - Parkland Tree Guard - welded steel</v>
          </cell>
          <cell r="F43" t="str">
            <v>Capital - Woodland and Scrub</v>
          </cell>
        </row>
        <row r="44">
          <cell r="D44" t="str">
            <v>AB10</v>
          </cell>
          <cell r="E44" t="str">
            <v>AB10 - Unharvested cereal headland</v>
          </cell>
          <cell r="F44" t="str">
            <v>Revenue - Arable</v>
          </cell>
        </row>
        <row r="45">
          <cell r="D45" t="str">
            <v>AQ2</v>
          </cell>
          <cell r="E45" t="str">
            <v>AQ2 - Low ammonia emission flooring for livestock buildings</v>
          </cell>
          <cell r="F45" t="str">
            <v>Capital - Air Quality</v>
          </cell>
        </row>
        <row r="46">
          <cell r="D46" t="str">
            <v>SW14</v>
          </cell>
          <cell r="E46" t="str">
            <v>SW14 - Nil fertiliser supplement</v>
          </cell>
          <cell r="F46" t="str">
            <v>Revenue - Soil and Water</v>
          </cell>
        </row>
        <row r="47">
          <cell r="D47" t="str">
            <v>BC3</v>
          </cell>
          <cell r="E47" t="str">
            <v>BC3 - Crop protection mesh wire fencing</v>
          </cell>
          <cell r="F47" t="str">
            <v>Capital - Beavers</v>
          </cell>
        </row>
        <row r="48">
          <cell r="D48" t="str">
            <v>OFM2</v>
          </cell>
          <cell r="E48" t="str">
            <v>OFM2 - Organic land management - unimproved permanent grassland</v>
          </cell>
          <cell r="F48" t="str">
            <v>Revenue - Organic</v>
          </cell>
        </row>
        <row r="49">
          <cell r="D49" t="str">
            <v>SW14</v>
          </cell>
          <cell r="E49" t="str">
            <v>SW14 - Nil fertiliser supplement</v>
          </cell>
          <cell r="F49" t="str">
            <v>Revenue - Soil and Water</v>
          </cell>
        </row>
        <row r="50">
          <cell r="D50" t="str">
            <v>SW14</v>
          </cell>
          <cell r="E50" t="str">
            <v>SW14 - Nil fertiliser supplement</v>
          </cell>
          <cell r="F50" t="str">
            <v>Revenue - Soil and Water</v>
          </cell>
        </row>
        <row r="51">
          <cell r="D51" t="str">
            <v>BC3</v>
          </cell>
          <cell r="E51" t="str">
            <v>BC3 - Crop protection mesh wire fencing</v>
          </cell>
          <cell r="F51" t="str">
            <v>Capital - Beavers</v>
          </cell>
        </row>
        <row r="52">
          <cell r="D52" t="str">
            <v>CPAC2</v>
          </cell>
          <cell r="E52" t="str">
            <v>CPAC2 - Access for people with reduced mobility</v>
          </cell>
          <cell r="F52" t="str">
            <v>Revenue - Access</v>
          </cell>
        </row>
        <row r="53">
          <cell r="D53" t="str">
            <v>UPL6</v>
          </cell>
          <cell r="E53" t="str">
            <v>UPL6 - Supplement: Keep cattle and ponies on moorland (100% GLU)</v>
          </cell>
          <cell r="F53" t="str">
            <v>Revenue - Moorland</v>
          </cell>
        </row>
        <row r="54">
          <cell r="D54" t="str">
            <v>UP2</v>
          </cell>
          <cell r="E54" t="str">
            <v>UP2 - Management of rough grazing for birds</v>
          </cell>
          <cell r="F54" t="str">
            <v>Revenue - Uplands</v>
          </cell>
        </row>
        <row r="55">
          <cell r="D55" t="str">
            <v>UP2</v>
          </cell>
          <cell r="E55" t="str">
            <v>UP2 - Management of rough grazing for birds</v>
          </cell>
          <cell r="F55" t="str">
            <v>Revenue - Uplands</v>
          </cell>
        </row>
        <row r="56">
          <cell r="D56" t="str">
            <v>UP2</v>
          </cell>
          <cell r="E56" t="str">
            <v>UP2 - Management of rough grazing for birds</v>
          </cell>
          <cell r="F56" t="str">
            <v>Revenue - Uplands</v>
          </cell>
        </row>
        <row r="57">
          <cell r="D57" t="str">
            <v>CHS9</v>
          </cell>
          <cell r="E57" t="str">
            <v>CHS9 - Restrict crop establishment depth to protect archaeology under an arable rotation</v>
          </cell>
          <cell r="F57" t="str">
            <v>Revenue - Heritage</v>
          </cell>
        </row>
        <row r="58">
          <cell r="D58" t="str">
            <v>CGS20</v>
          </cell>
          <cell r="E58" t="str">
            <v>CGS20 - Manage wet grassland for breeding waders</v>
          </cell>
          <cell r="F58" t="str">
            <v>Revenue - Grassland</v>
          </cell>
        </row>
        <row r="59">
          <cell r="D59" t="str">
            <v>HEF2</v>
          </cell>
          <cell r="E59" t="str">
            <v>HEF2 - Maintain weatherproof traditional farm or forestry buildings in remote areas</v>
          </cell>
          <cell r="F59" t="str">
            <v>Revenue - Heritage</v>
          </cell>
        </row>
        <row r="60">
          <cell r="D60" t="str">
            <v>FG4</v>
          </cell>
          <cell r="E60" t="str">
            <v>FG4 - Rabbit fencing supplement</v>
          </cell>
          <cell r="F60" t="str">
            <v>Capital - Soil and Water</v>
          </cell>
        </row>
        <row r="61">
          <cell r="D61" t="str">
            <v>RP9</v>
          </cell>
          <cell r="E61" t="str">
            <v>RP9 - Earth banks and soil bunds/unit</v>
          </cell>
          <cell r="F61" t="str">
            <v>Capital - Soil and Water</v>
          </cell>
        </row>
        <row r="62">
          <cell r="D62" t="str">
            <v>RP9</v>
          </cell>
          <cell r="E62" t="str">
            <v>RP9 - Earth banks and soil bunds/unit</v>
          </cell>
          <cell r="F62" t="str">
            <v>Capital - Soil and Water</v>
          </cell>
        </row>
        <row r="63">
          <cell r="D63" t="str">
            <v>FG4</v>
          </cell>
          <cell r="E63" t="str">
            <v>FG4 - Rabbit fencing supplement</v>
          </cell>
          <cell r="F63" t="str">
            <v>Capital - Soil and Water</v>
          </cell>
        </row>
        <row r="64">
          <cell r="D64" t="str">
            <v>HRW2</v>
          </cell>
          <cell r="E64" t="str">
            <v>HRW2 - Manage hedgerows</v>
          </cell>
          <cell r="F64" t="str">
            <v>Revenue - ELMS</v>
          </cell>
        </row>
        <row r="65">
          <cell r="D65" t="str">
            <v>SS3C</v>
          </cell>
          <cell r="E65" t="str">
            <v>SS3C - Additional Payment</v>
          </cell>
          <cell r="F65" t="str">
            <v>Revenue - ELMS</v>
          </cell>
        </row>
        <row r="66">
          <cell r="D66" t="str">
            <v>SPM2</v>
          </cell>
          <cell r="E66" t="str">
            <v>SPM2 - Supplement: Keep native breeds on grazed habitats (50-80%)</v>
          </cell>
          <cell r="F66" t="str">
            <v>Revenue - Species recovery and management</v>
          </cell>
        </row>
        <row r="67">
          <cell r="D67" t="str">
            <v>HEF7</v>
          </cell>
          <cell r="E67" t="str">
            <v>HEF7 - Restrict crop establishment depth on historic and archaeological features</v>
          </cell>
          <cell r="F67" t="str">
            <v>Revenue - Heritage</v>
          </cell>
        </row>
        <row r="68">
          <cell r="D68" t="str">
            <v>LV2</v>
          </cell>
          <cell r="E68" t="str">
            <v>LV2 - Livestock handling facilities</v>
          </cell>
          <cell r="F68" t="str">
            <v>Capital - Uplands</v>
          </cell>
        </row>
        <row r="69">
          <cell r="D69" t="str">
            <v>CUP14</v>
          </cell>
          <cell r="E69" t="str">
            <v>CUP14 - Shepherding livestock on moorland (remove stock for a minimum of 8 months)</v>
          </cell>
          <cell r="F69" t="str">
            <v>Revenue - Moorland</v>
          </cell>
        </row>
        <row r="70">
          <cell r="D70" t="str">
            <v>RP28</v>
          </cell>
          <cell r="E70" t="str">
            <v>RP28 - Roofing (sprayer washdown area, manure storage area, ...)</v>
          </cell>
          <cell r="F70" t="str">
            <v>Capital - Soil and Water</v>
          </cell>
        </row>
        <row r="71">
          <cell r="D71" t="str">
            <v>RP28</v>
          </cell>
          <cell r="E71" t="str">
            <v>RP28 - Roofing (sprayer washdown area, manure storage area, ...)</v>
          </cell>
          <cell r="F71" t="str">
            <v>Capital - Soil and Water</v>
          </cell>
        </row>
        <row r="72">
          <cell r="D72" t="str">
            <v>WT10</v>
          </cell>
          <cell r="E72" t="str">
            <v>WT10 - Management of lowland raised bog</v>
          </cell>
          <cell r="F72" t="str">
            <v>Revenue - Wetlands</v>
          </cell>
        </row>
        <row r="73">
          <cell r="D73" t="str">
            <v>OFA6</v>
          </cell>
          <cell r="E73" t="str">
            <v>OFA6 - Undersown cereals (organic land)</v>
          </cell>
          <cell r="F73" t="str">
            <v>Revenue - Organic</v>
          </cell>
        </row>
        <row r="74">
          <cell r="D74" t="str">
            <v>WT10</v>
          </cell>
          <cell r="E74" t="str">
            <v>WT10 - Management of lowland raised bog</v>
          </cell>
          <cell r="F74" t="str">
            <v>Revenue - Wetlands</v>
          </cell>
        </row>
        <row r="75">
          <cell r="D75" t="str">
            <v>WN1</v>
          </cell>
          <cell r="E75" t="str">
            <v>WN1 - Blocking Grips or Drainage Channels</v>
          </cell>
          <cell r="F75" t="str">
            <v>Capital - Uplands</v>
          </cell>
        </row>
        <row r="76">
          <cell r="D76" t="str">
            <v>WT10</v>
          </cell>
          <cell r="E76" t="str">
            <v>WT10 - Management of lowland raised bog</v>
          </cell>
          <cell r="F76" t="str">
            <v>Revenue - Wetlands</v>
          </cell>
        </row>
        <row r="77">
          <cell r="D77" t="str">
            <v>WT10</v>
          </cell>
          <cell r="E77" t="str">
            <v>WT10 - Management of lowland raised bog</v>
          </cell>
          <cell r="F77" t="str">
            <v>Revenue - Wetlands</v>
          </cell>
        </row>
        <row r="78">
          <cell r="D78" t="str">
            <v>WN1</v>
          </cell>
          <cell r="E78" t="str">
            <v>WN1 - Blocking Grips or Drainage Channels</v>
          </cell>
          <cell r="F78" t="str">
            <v>Capital - Uplands</v>
          </cell>
        </row>
        <row r="79">
          <cell r="D79" t="str">
            <v>WB3C</v>
          </cell>
          <cell r="E79" t="str">
            <v>WB3C - In Field Buffer Strip</v>
          </cell>
          <cell r="F79" t="str">
            <v>Revenue - ELMS</v>
          </cell>
        </row>
        <row r="80">
          <cell r="D80" t="str">
            <v>SI1A</v>
          </cell>
          <cell r="E80" t="str">
            <v>SI1A - Low/no input Grassland</v>
          </cell>
          <cell r="F80" t="str">
            <v>Revenue - ELMS</v>
          </cell>
        </row>
        <row r="81">
          <cell r="D81" t="str">
            <v>SW3</v>
          </cell>
          <cell r="E81" t="str">
            <v>SW3 - In-field grass strips</v>
          </cell>
          <cell r="F81" t="str">
            <v>Revenue - Soil and Water</v>
          </cell>
        </row>
        <row r="82">
          <cell r="D82" t="str">
            <v>SW3</v>
          </cell>
          <cell r="E82" t="str">
            <v>SW3 - In-field grass strips</v>
          </cell>
          <cell r="F82" t="str">
            <v>Revenue - Soil and Water</v>
          </cell>
        </row>
        <row r="83">
          <cell r="D83" t="str">
            <v>SB4</v>
          </cell>
          <cell r="E83" t="str">
            <v>SB4 - Chemical Bracken Control</v>
          </cell>
          <cell r="F83" t="str">
            <v>Capital - Lowland Heathland</v>
          </cell>
        </row>
        <row r="84">
          <cell r="D84" t="str">
            <v>SW3</v>
          </cell>
          <cell r="E84" t="str">
            <v>SW3 - In-field grass strips</v>
          </cell>
          <cell r="F84" t="str">
            <v>Revenue - Soil and Water</v>
          </cell>
        </row>
        <row r="85">
          <cell r="D85" t="str">
            <v>SW3</v>
          </cell>
          <cell r="E85" t="str">
            <v>SW3 - In-field grass strips</v>
          </cell>
          <cell r="F85" t="str">
            <v>Revenue - Soil and Water</v>
          </cell>
        </row>
        <row r="86">
          <cell r="D86" t="str">
            <v>SB4</v>
          </cell>
          <cell r="E86" t="str">
            <v>SB4 - Chemical Bracken Control</v>
          </cell>
          <cell r="F86" t="str">
            <v>Capital - Lowland Heathland</v>
          </cell>
        </row>
        <row r="87">
          <cell r="D87" t="str">
            <v>WB3C</v>
          </cell>
          <cell r="E87" t="str">
            <v>WB3C - In Field Buffer Strip</v>
          </cell>
          <cell r="F87" t="str">
            <v>Revenue - ELMS</v>
          </cell>
        </row>
        <row r="88">
          <cell r="D88" t="str">
            <v>SW3</v>
          </cell>
          <cell r="E88" t="str">
            <v>SW3 - In-field grass strips</v>
          </cell>
          <cell r="F88" t="str">
            <v>Revenue - Soil and Water</v>
          </cell>
        </row>
        <row r="89">
          <cell r="D89" t="str">
            <v>CWT16</v>
          </cell>
          <cell r="E89" t="str">
            <v>CWT16 - Manage lakes and bodies of water greater than 2ha</v>
          </cell>
          <cell r="F89" t="str">
            <v>Revenue - Lakes/Ponds/Ditches</v>
          </cell>
        </row>
        <row r="90">
          <cell r="D90" t="str">
            <v>BE1</v>
          </cell>
          <cell r="E90" t="str">
            <v>BE1 - Protection of in-field trees on arable land</v>
          </cell>
          <cell r="F90" t="str">
            <v>Revenue - Boundaries, Trees and Orchards</v>
          </cell>
        </row>
        <row r="91">
          <cell r="D91" t="str">
            <v>BE1</v>
          </cell>
          <cell r="E91" t="str">
            <v>BE1 - Protection of in-field trees on arable land</v>
          </cell>
          <cell r="F91" t="str">
            <v>Revenue - Boundaries, Trees and Orchards</v>
          </cell>
        </row>
        <row r="92">
          <cell r="D92" t="str">
            <v>BE1</v>
          </cell>
          <cell r="E92" t="str">
            <v>BE1 - Protection of in-field trees on arable land</v>
          </cell>
          <cell r="F92" t="str">
            <v>Revenue - Boundaries, Trees and Orchards</v>
          </cell>
        </row>
        <row r="93">
          <cell r="D93" t="str">
            <v>BE1</v>
          </cell>
          <cell r="E93" t="str">
            <v>BE1 - Protection of in-field trees on arable land</v>
          </cell>
          <cell r="F93" t="str">
            <v>Revenue - Boundaries, Trees and Orchards</v>
          </cell>
        </row>
        <row r="94">
          <cell r="D94" t="str">
            <v>LIG1</v>
          </cell>
          <cell r="E94" t="str">
            <v>LIG1 - Manage grassland with very low nutrient inputs (outside SDAs)</v>
          </cell>
          <cell r="F94" t="str">
            <v>Revenue - ELMS</v>
          </cell>
        </row>
        <row r="95">
          <cell r="D95" t="str">
            <v>BN1</v>
          </cell>
          <cell r="E95" t="str">
            <v>BN1 - Stone-faced bank repair</v>
          </cell>
          <cell r="F95" t="str">
            <v>Capital - Boundaries, Trees and Orchards</v>
          </cell>
        </row>
        <row r="96">
          <cell r="D96" t="str">
            <v>AHW6</v>
          </cell>
          <cell r="E96" t="str">
            <v>AHW6 - Basic overwinter stubble</v>
          </cell>
          <cell r="F96" t="str">
            <v>Revenue - Arable</v>
          </cell>
        </row>
        <row r="97">
          <cell r="D97" t="str">
            <v>BN1</v>
          </cell>
          <cell r="E97" t="str">
            <v>BN1 - Stone-faced bank repair</v>
          </cell>
          <cell r="F97" t="str">
            <v>Capital - Boundaries, Trees and Orchards</v>
          </cell>
        </row>
        <row r="98">
          <cell r="D98" t="str">
            <v>IG2A</v>
          </cell>
          <cell r="E98" t="str">
            <v>IG2A - Improved Grassland</v>
          </cell>
          <cell r="F98" t="str">
            <v>Revenue - ELMS</v>
          </cell>
        </row>
        <row r="99">
          <cell r="D99" t="str">
            <v>SP3</v>
          </cell>
          <cell r="E99" t="str">
            <v>SP3 - Bracken control supplement</v>
          </cell>
          <cell r="F99" t="str">
            <v>Revenue - Lowland Heathland</v>
          </cell>
        </row>
        <row r="100">
          <cell r="D100" t="str">
            <v>SP3</v>
          </cell>
          <cell r="E100" t="str">
            <v>SP3 - Bracken control supplement</v>
          </cell>
          <cell r="F100" t="str">
            <v>Revenue - Lowland Heathland</v>
          </cell>
        </row>
        <row r="101">
          <cell r="D101" t="str">
            <v>WB3B</v>
          </cell>
          <cell r="E101" t="str">
            <v>WB3B - Waterbody buffering</v>
          </cell>
          <cell r="F101" t="str">
            <v>Revenue - ELMS</v>
          </cell>
        </row>
        <row r="102">
          <cell r="D102" t="str">
            <v>WB3B</v>
          </cell>
          <cell r="E102" t="str">
            <v>WB3B - Waterbody buffering</v>
          </cell>
          <cell r="F102" t="str">
            <v>Revenue - ELMS</v>
          </cell>
        </row>
        <row r="103">
          <cell r="D103" t="str">
            <v>WB3B</v>
          </cell>
          <cell r="E103" t="str">
            <v>WB3B - Waterbody buffering</v>
          </cell>
          <cell r="F103" t="str">
            <v>Revenue - ELMS</v>
          </cell>
        </row>
        <row r="104">
          <cell r="D104" t="str">
            <v>IGL3</v>
          </cell>
          <cell r="E104" t="str">
            <v>IGL3 - 4m to 12m grass buffer strip on improved grassland</v>
          </cell>
          <cell r="F104" t="str">
            <v>Revenue - ELMS</v>
          </cell>
        </row>
        <row r="105">
          <cell r="D105" t="str">
            <v>CUP12</v>
          </cell>
          <cell r="E105" t="str">
            <v>CUP12 - Shepherding livestock on moorland (remove stock for a minimum of 4 months)</v>
          </cell>
          <cell r="F105" t="str">
            <v>Revenue - Moorland</v>
          </cell>
        </row>
        <row r="106">
          <cell r="D106" t="str">
            <v>SP3</v>
          </cell>
          <cell r="E106" t="str">
            <v>SP3 - Bracken control supplement</v>
          </cell>
          <cell r="F106" t="str">
            <v>Revenue - Lowland Heathland</v>
          </cell>
        </row>
        <row r="107">
          <cell r="D107" t="str">
            <v>SP3</v>
          </cell>
          <cell r="E107" t="str">
            <v>SP3 - Bracken control supplement</v>
          </cell>
          <cell r="F107" t="str">
            <v>Revenue - Lowland Heathland</v>
          </cell>
        </row>
        <row r="108">
          <cell r="D108" t="str">
            <v>IG2A</v>
          </cell>
          <cell r="E108" t="str">
            <v>IG2A - Improved Grassland</v>
          </cell>
          <cell r="F108" t="str">
            <v>Revenue - ELMS</v>
          </cell>
        </row>
        <row r="109">
          <cell r="D109" t="str">
            <v>AC1</v>
          </cell>
          <cell r="E109" t="str">
            <v>AC1 - Access Capital Items</v>
          </cell>
          <cell r="F109" t="str">
            <v>Capital - Access and engagement</v>
          </cell>
        </row>
        <row r="110">
          <cell r="D110" t="str">
            <v>IG2A</v>
          </cell>
          <cell r="E110" t="str">
            <v>IG2A - Improved Grassland</v>
          </cell>
          <cell r="F110" t="str">
            <v>Revenue - ELMS</v>
          </cell>
        </row>
        <row r="111">
          <cell r="D111" t="str">
            <v>RP5</v>
          </cell>
          <cell r="E111" t="str">
            <v>RP5 - Cross drains/unit</v>
          </cell>
          <cell r="F111" t="str">
            <v>Capital - Soil and Water</v>
          </cell>
        </row>
        <row r="112">
          <cell r="D112" t="str">
            <v>RP5</v>
          </cell>
          <cell r="E112" t="str">
            <v>RP5 - Cross drains/unit</v>
          </cell>
          <cell r="F112" t="str">
            <v>Capital - Soil and Water</v>
          </cell>
        </row>
        <row r="113">
          <cell r="D113" t="str">
            <v>AQ1</v>
          </cell>
          <cell r="E113" t="str">
            <v>AQ1 - Automatic slurry scraper</v>
          </cell>
          <cell r="F113" t="str">
            <v>Capital - Air Quality</v>
          </cell>
        </row>
        <row r="114">
          <cell r="D114" t="str">
            <v>CWT14</v>
          </cell>
          <cell r="E114" t="str">
            <v>CWT14 - Create reedbed, fen or wetland mosaics</v>
          </cell>
          <cell r="F114" t="str">
            <v>Revenue - Wetlands</v>
          </cell>
        </row>
        <row r="115">
          <cell r="D115" t="str">
            <v>OP1</v>
          </cell>
          <cell r="E115" t="str">
            <v>OP1 - Overwintered stubble</v>
          </cell>
          <cell r="F115" t="str">
            <v>Revenue - Options exclusive to Organic land</v>
          </cell>
        </row>
        <row r="116">
          <cell r="D116" t="str">
            <v>CWS10</v>
          </cell>
          <cell r="E116" t="str">
            <v>CWS10 - Supplement: 2-zone rides</v>
          </cell>
          <cell r="F116" t="str">
            <v>Revenue - Woodland and trees</v>
          </cell>
        </row>
        <row r="117">
          <cell r="D117" t="str">
            <v>OP1</v>
          </cell>
          <cell r="E117" t="str">
            <v>OP1 - Overwintered stubble</v>
          </cell>
          <cell r="F117" t="str">
            <v>Revenue - Options exclusive to Organic land</v>
          </cell>
        </row>
        <row r="118">
          <cell r="D118" t="str">
            <v>OP1</v>
          </cell>
          <cell r="E118" t="str">
            <v>OP1 - Overwintered stubble</v>
          </cell>
          <cell r="F118" t="str">
            <v>Revenue - Options exclusive to Organic land</v>
          </cell>
        </row>
        <row r="119">
          <cell r="D119" t="str">
            <v>OP1</v>
          </cell>
          <cell r="E119" t="str">
            <v>OP1 - Overwintered stubble</v>
          </cell>
          <cell r="F119" t="str">
            <v>Revenue - Options exclusive to Organic land</v>
          </cell>
        </row>
        <row r="120">
          <cell r="D120" t="str">
            <v>RP7</v>
          </cell>
          <cell r="E120" t="str">
            <v>RP7 - Sediment ponds and traps/sq m</v>
          </cell>
          <cell r="F120" t="str">
            <v>Capital - Soil and Water</v>
          </cell>
        </row>
        <row r="121">
          <cell r="D121" t="str">
            <v>RP7</v>
          </cell>
          <cell r="E121" t="str">
            <v>RP7 - Sediment ponds and traps/sq m</v>
          </cell>
          <cell r="F121" t="str">
            <v>Capital - Soil and Water</v>
          </cell>
        </row>
        <row r="122">
          <cell r="D122" t="str">
            <v>RP8</v>
          </cell>
          <cell r="E122" t="str">
            <v>RP8 - Constructed wetlands for the treatment of pollution</v>
          </cell>
          <cell r="F122" t="str">
            <v>Capital - Soil and Water</v>
          </cell>
        </row>
        <row r="123">
          <cell r="D123" t="str">
            <v>TE11A</v>
          </cell>
          <cell r="E123" t="str">
            <v>TE11A - Tree surgery</v>
          </cell>
          <cell r="F123" t="str">
            <v>Capital - Woodland and Scrub</v>
          </cell>
        </row>
        <row r="124">
          <cell r="D124" t="str">
            <v>TE11A</v>
          </cell>
          <cell r="E124" t="str">
            <v>TE11A - Tree surgery</v>
          </cell>
          <cell r="F124" t="str">
            <v>Capital - Woodland and Scrub</v>
          </cell>
        </row>
        <row r="125">
          <cell r="D125" t="str">
            <v>HS2</v>
          </cell>
          <cell r="E125" t="str">
            <v>HS2 - Take historic and archaeological features currently on cultivated land out of cultivation.</v>
          </cell>
          <cell r="F125" t="str">
            <v>Revenue - Historic Environment and Landscape</v>
          </cell>
        </row>
        <row r="126">
          <cell r="D126" t="str">
            <v>HS2</v>
          </cell>
          <cell r="E126" t="str">
            <v>HS2 - Take historic and archaeological features currently on cultivated land out of cultivation.</v>
          </cell>
          <cell r="F126" t="str">
            <v>Revenue - Historic Environment and Landscape</v>
          </cell>
        </row>
        <row r="127">
          <cell r="D127" t="str">
            <v>BN5</v>
          </cell>
          <cell r="E127" t="str">
            <v>BN5 - Hedgerow laying</v>
          </cell>
          <cell r="F127" t="str">
            <v>Capital - Boundaries, Trees and Orchards</v>
          </cell>
        </row>
        <row r="128">
          <cell r="D128" t="str">
            <v>HS2</v>
          </cell>
          <cell r="E128" t="str">
            <v>HS2 - Take historic and archaeological features currently on cultivated land out of cultivation.</v>
          </cell>
          <cell r="F128" t="str">
            <v>Revenue - Historic Environment and Landscape</v>
          </cell>
        </row>
        <row r="129">
          <cell r="D129" t="str">
            <v>BN5</v>
          </cell>
          <cell r="E129" t="str">
            <v>BN5 - Hedgerow laying</v>
          </cell>
          <cell r="F129" t="str">
            <v>Capital - Boundaries, Trees and Orchards</v>
          </cell>
        </row>
        <row r="130">
          <cell r="D130" t="str">
            <v>HS2</v>
          </cell>
          <cell r="E130" t="str">
            <v>HS2 - Take historic and archaeological features currently on cultivated land out of cultivation.</v>
          </cell>
          <cell r="F130" t="str">
            <v>Revenue - Historic Environment and Landscape</v>
          </cell>
        </row>
        <row r="131">
          <cell r="D131" t="str">
            <v>HS2</v>
          </cell>
          <cell r="E131" t="str">
            <v>HS2 - Take historic and archaeological features currently on cultivated land out of cultivation.</v>
          </cell>
          <cell r="F131" t="str">
            <v>Revenue - Historic Environment and Landscape</v>
          </cell>
        </row>
        <row r="132">
          <cell r="D132" t="str">
            <v>WBD8</v>
          </cell>
          <cell r="E132" t="str">
            <v>WBD8 - Manage grassland to reduce nutrient levels in groundwater</v>
          </cell>
          <cell r="F132" t="str">
            <v>Revenue - Improving soil health</v>
          </cell>
        </row>
        <row r="133">
          <cell r="D133" t="str">
            <v>SAM1A</v>
          </cell>
          <cell r="E133" t="str">
            <v>SAM1A - Assess soil, produce a soil management plan and test soil organic matter</v>
          </cell>
          <cell r="F133" t="str">
            <v>Revenue - ELMS</v>
          </cell>
        </row>
        <row r="134">
          <cell r="D134" t="str">
            <v>CUP2</v>
          </cell>
          <cell r="E134" t="str">
            <v>CUP2 - Management of rough grazing for birds</v>
          </cell>
          <cell r="F134" t="str">
            <v>Revenue - Grassland</v>
          </cell>
        </row>
        <row r="135">
          <cell r="D135" t="str">
            <v>GS15</v>
          </cell>
          <cell r="E135" t="str">
            <v>GS15 - Haymaking supplement</v>
          </cell>
          <cell r="F135" t="str">
            <v>Revenue - Grassland</v>
          </cell>
        </row>
        <row r="136">
          <cell r="D136" t="str">
            <v>GS9</v>
          </cell>
          <cell r="E136" t="str">
            <v>GS9 - Management of wet grassland for breeding waders</v>
          </cell>
          <cell r="F136" t="str">
            <v>Revenue - Grassland</v>
          </cell>
        </row>
        <row r="137">
          <cell r="D137" t="str">
            <v>GS9</v>
          </cell>
          <cell r="E137" t="str">
            <v>GS9 - Management of wet grassland for breeding waders</v>
          </cell>
          <cell r="F137" t="str">
            <v>Revenue - Grassland</v>
          </cell>
        </row>
        <row r="138">
          <cell r="D138" t="str">
            <v>GS9</v>
          </cell>
          <cell r="E138" t="str">
            <v>GS9 - Management of wet grassland for breeding waders</v>
          </cell>
          <cell r="F138" t="str">
            <v>Revenue - Grassland</v>
          </cell>
        </row>
        <row r="139">
          <cell r="D139" t="str">
            <v>GS15</v>
          </cell>
          <cell r="E139" t="str">
            <v>GS15 - Haymaking supplement</v>
          </cell>
          <cell r="F139" t="str">
            <v>Revenue - Grassland</v>
          </cell>
        </row>
        <row r="140">
          <cell r="D140" t="str">
            <v>GS15</v>
          </cell>
          <cell r="E140" t="str">
            <v>GS15 - Haymaking supplement</v>
          </cell>
          <cell r="F140" t="str">
            <v>Revenue - Grassland</v>
          </cell>
        </row>
        <row r="141">
          <cell r="D141" t="str">
            <v>GS9</v>
          </cell>
          <cell r="E141" t="str">
            <v>GS9 - Management of wet grassland for breeding waders</v>
          </cell>
          <cell r="F141" t="str">
            <v>Revenue - Grassland</v>
          </cell>
        </row>
        <row r="142">
          <cell r="D142" t="str">
            <v>WBD3</v>
          </cell>
          <cell r="E142" t="str">
            <v>WBD3 - In-field grass strips</v>
          </cell>
          <cell r="F142" t="str">
            <v>Revenue - Improving soil health</v>
          </cell>
        </row>
        <row r="143">
          <cell r="D143" t="str">
            <v>AL2B</v>
          </cell>
          <cell r="E143" t="str">
            <v>AL2B - Additional Payment</v>
          </cell>
          <cell r="F143" t="str">
            <v>Revenue - ELMS</v>
          </cell>
        </row>
        <row r="144">
          <cell r="D144" t="str">
            <v>AB2</v>
          </cell>
          <cell r="E144" t="str">
            <v>AB2 - Basic Overwinter stubble</v>
          </cell>
          <cell r="F144" t="str">
            <v>Revenue - Arable</v>
          </cell>
        </row>
        <row r="145">
          <cell r="D145" t="str">
            <v>UPL10</v>
          </cell>
          <cell r="E145" t="str">
            <v>UPL10 - Shepherding livestock on moorland (remove stock for at least 8 months)</v>
          </cell>
          <cell r="F145" t="str">
            <v>Revenue - Moorland</v>
          </cell>
        </row>
        <row r="146">
          <cell r="D146" t="str">
            <v>AB2</v>
          </cell>
          <cell r="E146" t="str">
            <v>AB2 - Basic Overwinter stubble</v>
          </cell>
          <cell r="F146" t="str">
            <v>Revenue - Arable</v>
          </cell>
        </row>
        <row r="147">
          <cell r="D147" t="str">
            <v>AL2B</v>
          </cell>
          <cell r="E147" t="str">
            <v>AL2B - Additional Payment</v>
          </cell>
          <cell r="F147" t="str">
            <v>Revenue - ELMS</v>
          </cell>
        </row>
        <row r="148">
          <cell r="D148" t="str">
            <v>GS12</v>
          </cell>
          <cell r="E148" t="str">
            <v>GS12 - Creation of wet grassland for wintering waders and wildfowl</v>
          </cell>
          <cell r="F148" t="str">
            <v>Revenue - Grassland</v>
          </cell>
        </row>
        <row r="149">
          <cell r="D149" t="str">
            <v>AB9</v>
          </cell>
          <cell r="E149" t="str">
            <v>AB9 - Winter bird food</v>
          </cell>
          <cell r="F149" t="str">
            <v>Revenue - Arable</v>
          </cell>
        </row>
        <row r="150">
          <cell r="D150" t="str">
            <v>GS12</v>
          </cell>
          <cell r="E150" t="str">
            <v>GS12 - Creation of wet grassland for wintering waders and wildfowl</v>
          </cell>
          <cell r="F150" t="str">
            <v>Revenue - Grassland</v>
          </cell>
        </row>
        <row r="151">
          <cell r="D151" t="str">
            <v>AB9</v>
          </cell>
          <cell r="E151" t="str">
            <v>AB9 - Winter bird food</v>
          </cell>
          <cell r="F151" t="str">
            <v>Revenue - Arable</v>
          </cell>
        </row>
        <row r="152">
          <cell r="D152" t="str">
            <v>CWT3</v>
          </cell>
          <cell r="E152" t="str">
            <v>CWT3 - Manage ditches of high environmental value</v>
          </cell>
          <cell r="F152" t="str">
            <v>Revenue - Lakes/Ponds/Ditches</v>
          </cell>
        </row>
        <row r="153">
          <cell r="D153" t="str">
            <v>GS12</v>
          </cell>
          <cell r="E153" t="str">
            <v>GS12 - Creation of wet grassland for wintering waders and wildfowl</v>
          </cell>
          <cell r="F153" t="str">
            <v>Revenue - Grassland</v>
          </cell>
        </row>
        <row r="154">
          <cell r="D154" t="str">
            <v>AB9</v>
          </cell>
          <cell r="E154" t="str">
            <v>AB9 - Winter bird food</v>
          </cell>
          <cell r="F154" t="str">
            <v>Revenue - Arable</v>
          </cell>
        </row>
        <row r="155">
          <cell r="D155" t="str">
            <v>GS12</v>
          </cell>
          <cell r="E155" t="str">
            <v>GS12 - Creation of wet grassland for wintering waders and wildfowl</v>
          </cell>
          <cell r="F155" t="str">
            <v>Revenue - Grassland</v>
          </cell>
        </row>
        <row r="156">
          <cell r="D156" t="str">
            <v>AB9</v>
          </cell>
          <cell r="E156" t="str">
            <v>AB9 - Winter bird food</v>
          </cell>
          <cell r="F156" t="str">
            <v>Revenue - Arable</v>
          </cell>
        </row>
        <row r="157">
          <cell r="D157" t="str">
            <v>HS1</v>
          </cell>
          <cell r="E157" t="str">
            <v>HS1 - Maintenance of Weatherproof Traditional Farm Buildings</v>
          </cell>
          <cell r="F157" t="str">
            <v>Revenue - Historic Environment and Landscape</v>
          </cell>
        </row>
        <row r="158">
          <cell r="D158" t="str">
            <v>HS1</v>
          </cell>
          <cell r="E158" t="str">
            <v>HS1 - Maintenance of Weatherproof Traditional Farm Buildings</v>
          </cell>
          <cell r="F158" t="str">
            <v>Revenue - Historic Environment and Landscape</v>
          </cell>
        </row>
        <row r="159">
          <cell r="D159" t="str">
            <v>GS3A</v>
          </cell>
          <cell r="E159" t="str">
            <v>GS3A - Improved Grassland Soils</v>
          </cell>
          <cell r="F159" t="str">
            <v>Revenue - ELMS</v>
          </cell>
        </row>
        <row r="160">
          <cell r="D160" t="str">
            <v>HS1</v>
          </cell>
          <cell r="E160" t="str">
            <v>HS1 - Maintenance of Weatherproof Traditional Farm Buildings</v>
          </cell>
          <cell r="F160" t="str">
            <v>Revenue - Historic Environment and Landscape</v>
          </cell>
        </row>
        <row r="161">
          <cell r="D161" t="str">
            <v>HS1</v>
          </cell>
          <cell r="E161" t="str">
            <v>HS1 - Maintenance of Weatherproof Traditional Farm Buildings</v>
          </cell>
          <cell r="F161" t="str">
            <v>Revenue - Historic Environment and Landscape</v>
          </cell>
        </row>
        <row r="162">
          <cell r="D162" t="str">
            <v>WD2</v>
          </cell>
          <cell r="E162" t="str">
            <v>WD2 - Woodland improvement</v>
          </cell>
          <cell r="F162" t="str">
            <v>Revenue - Woodland Management</v>
          </cell>
        </row>
        <row r="163">
          <cell r="D163" t="str">
            <v>WD2</v>
          </cell>
          <cell r="E163" t="str">
            <v>WD2 - Woodland improvement</v>
          </cell>
          <cell r="F163" t="str">
            <v>Revenue - Woodland Management</v>
          </cell>
        </row>
        <row r="164">
          <cell r="D164" t="str">
            <v>UPL7</v>
          </cell>
          <cell r="E164" t="str">
            <v>UPL7 - Shepherding livestock on moorland (no required stock removal period)</v>
          </cell>
          <cell r="F164" t="str">
            <v>Revenue - Moorland</v>
          </cell>
        </row>
        <row r="165">
          <cell r="D165" t="str">
            <v>FW1A</v>
          </cell>
          <cell r="E165" t="str">
            <v>FW1A - On Farm Woodland</v>
          </cell>
          <cell r="F165" t="str">
            <v>Revenue - ELMS</v>
          </cell>
        </row>
        <row r="166">
          <cell r="D166" t="str">
            <v>BN2</v>
          </cell>
          <cell r="E166" t="str">
            <v>BN2 - Stone faced bank restoration</v>
          </cell>
          <cell r="F166" t="str">
            <v>Capital - Boundaries, Trees and Orchards</v>
          </cell>
        </row>
        <row r="167">
          <cell r="D167" t="str">
            <v>BN2</v>
          </cell>
          <cell r="E167" t="str">
            <v>BN2 - Stone faced bank restoration</v>
          </cell>
          <cell r="F167" t="str">
            <v>Capital - Boundaries, Trees and Orchards</v>
          </cell>
        </row>
        <row r="168">
          <cell r="D168" t="str">
            <v>BN9</v>
          </cell>
          <cell r="E168" t="str">
            <v>BN9 - Hedgerow Supplement - substantial Pre-Work</v>
          </cell>
          <cell r="F168" t="str">
            <v>Capital - Boundaries, Trees and Orchards</v>
          </cell>
        </row>
        <row r="169">
          <cell r="D169" t="str">
            <v>LH2</v>
          </cell>
          <cell r="E169" t="str">
            <v>LH2 - Restoration of forestry and woodland to lowland heathland</v>
          </cell>
          <cell r="F169" t="str">
            <v>Revenue - Lowland Heathland</v>
          </cell>
        </row>
        <row r="170">
          <cell r="D170" t="str">
            <v>LH2</v>
          </cell>
          <cell r="E170" t="str">
            <v>LH2 - Restoration of forestry and woodland to lowland heathland</v>
          </cell>
          <cell r="F170" t="str">
            <v>Revenue - Lowland Heathland</v>
          </cell>
        </row>
        <row r="171">
          <cell r="D171" t="str">
            <v>AHW8</v>
          </cell>
          <cell r="E171" t="str">
            <v>AHW8 - Harvest whole crop spring cereals and maintain overwinter stubble</v>
          </cell>
          <cell r="F171" t="str">
            <v>Revenue - Arable</v>
          </cell>
        </row>
        <row r="172">
          <cell r="D172" t="str">
            <v>LH2</v>
          </cell>
          <cell r="E172" t="str">
            <v>LH2 - Restoration of forestry and woodland to lowland heathland</v>
          </cell>
          <cell r="F172" t="str">
            <v>Revenue - Lowland Heathland</v>
          </cell>
        </row>
        <row r="173">
          <cell r="D173" t="str">
            <v>BN9</v>
          </cell>
          <cell r="E173" t="str">
            <v>BN9 - Hedgerow Supplement - substantial Pre-Work</v>
          </cell>
          <cell r="F173" t="str">
            <v>Capital - Boundaries, Trees and Orchards</v>
          </cell>
        </row>
        <row r="174">
          <cell r="D174" t="str">
            <v>FG1</v>
          </cell>
          <cell r="E174" t="str">
            <v>FG1 - Fencing</v>
          </cell>
          <cell r="F174" t="str">
            <v>Capital - Soil and Water</v>
          </cell>
        </row>
        <row r="175">
          <cell r="D175" t="str">
            <v>FG1</v>
          </cell>
          <cell r="E175" t="str">
            <v>FG1 - Fencing</v>
          </cell>
          <cell r="F175" t="str">
            <v>Capital - Soil and Water</v>
          </cell>
        </row>
        <row r="176">
          <cell r="D176" t="str">
            <v>PRF2</v>
          </cell>
          <cell r="E176" t="str">
            <v>PRF2 - Camera or remote sensor guided herbicide spraying</v>
          </cell>
          <cell r="F176" t="str">
            <v>Revenue - Precision farming</v>
          </cell>
        </row>
        <row r="177">
          <cell r="D177" t="str">
            <v>LH2</v>
          </cell>
          <cell r="E177" t="str">
            <v>LH2 - Restoration of forestry and woodland to lowland heathland</v>
          </cell>
          <cell r="F177" t="str">
            <v>Revenue - Lowland Heathland</v>
          </cell>
        </row>
        <row r="178">
          <cell r="D178" t="str">
            <v>TE3</v>
          </cell>
          <cell r="E178" t="str">
            <v>TE3 - Planting Fruit Trees</v>
          </cell>
          <cell r="F178" t="str">
            <v>Capital - Boundaries, Trees and Orchards</v>
          </cell>
        </row>
        <row r="179">
          <cell r="D179" t="str">
            <v>OFA2</v>
          </cell>
          <cell r="E179" t="str">
            <v>OFA2 - Winter bird food (organic land)</v>
          </cell>
          <cell r="F179" t="str">
            <v>Revenue - Organic</v>
          </cell>
        </row>
        <row r="180">
          <cell r="D180" t="str">
            <v>SI2A</v>
          </cell>
          <cell r="E180" t="str">
            <v>SI2A - Low/no input Grassland</v>
          </cell>
          <cell r="F180" t="str">
            <v>Revenue - ELMS</v>
          </cell>
        </row>
        <row r="181">
          <cell r="D181" t="str">
            <v>TE3</v>
          </cell>
          <cell r="E181" t="str">
            <v>TE3 - Planting Fruit Trees</v>
          </cell>
          <cell r="F181" t="str">
            <v>Capital - Boundaries, Trees and Orchards</v>
          </cell>
        </row>
        <row r="182">
          <cell r="D182" t="str">
            <v>SI2A</v>
          </cell>
          <cell r="E182" t="str">
            <v>SI2A - Low/no input Grassland</v>
          </cell>
          <cell r="F182" t="str">
            <v>Revenue - ELMS</v>
          </cell>
        </row>
        <row r="183">
          <cell r="D183" t="str">
            <v>FW1B</v>
          </cell>
          <cell r="E183" t="str">
            <v>FW1B - Woodland Condition Assessment</v>
          </cell>
          <cell r="F183" t="str">
            <v>Revenue - ELMS</v>
          </cell>
        </row>
        <row r="184">
          <cell r="D184" t="str">
            <v>RP18</v>
          </cell>
          <cell r="E184" t="str">
            <v>RP18 - Above ground tanks</v>
          </cell>
          <cell r="F184" t="str">
            <v>Capital - Soil and Water</v>
          </cell>
        </row>
        <row r="185">
          <cell r="D185" t="str">
            <v>BN15</v>
          </cell>
          <cell r="E185" t="str">
            <v>BN15 - Stone wall supplement - difficult sites</v>
          </cell>
          <cell r="F185" t="str">
            <v>Capital - Boundaries, Trees and Orchards</v>
          </cell>
        </row>
        <row r="186">
          <cell r="D186" t="str">
            <v>BN15</v>
          </cell>
          <cell r="E186" t="str">
            <v>BN15 - Stone wall supplement - difficult sites</v>
          </cell>
          <cell r="F186" t="str">
            <v>Capital - Boundaries, Trees and Orchards</v>
          </cell>
        </row>
        <row r="187">
          <cell r="D187" t="str">
            <v>SI2A</v>
          </cell>
          <cell r="E187" t="str">
            <v>SI2A - Low/no input Grassland</v>
          </cell>
          <cell r="F187" t="str">
            <v>Revenue - ELMS</v>
          </cell>
        </row>
        <row r="188">
          <cell r="D188" t="str">
            <v>OFC5</v>
          </cell>
          <cell r="E188" t="str">
            <v>OFC5 - Organic conversion - top fruit</v>
          </cell>
          <cell r="F188" t="str">
            <v>Revenue - Organic</v>
          </cell>
        </row>
        <row r="189">
          <cell r="D189" t="str">
            <v>RP18</v>
          </cell>
          <cell r="E189" t="str">
            <v>RP18 - Above ground tanks</v>
          </cell>
          <cell r="F189" t="str">
            <v>Capital - Soil and Water</v>
          </cell>
        </row>
        <row r="190">
          <cell r="D190" t="str">
            <v>SS1B</v>
          </cell>
          <cell r="E190" t="str">
            <v>SS1B - Additional Payment</v>
          </cell>
          <cell r="F190" t="str">
            <v>Revenue - ELMS</v>
          </cell>
        </row>
        <row r="191">
          <cell r="D191" t="str">
            <v>SB1E</v>
          </cell>
          <cell r="E191" t="str">
            <v>SB1E - Scrub Control and Felling Diseased Trees</v>
          </cell>
          <cell r="F191" t="str">
            <v>Capital - Woodland and Scrub</v>
          </cell>
        </row>
        <row r="192">
          <cell r="D192" t="str">
            <v>HEF5</v>
          </cell>
          <cell r="E192" t="str">
            <v>HEF5 - Control scrub on historic and archaeological features</v>
          </cell>
          <cell r="F192" t="str">
            <v>Revenue - Heritage</v>
          </cell>
        </row>
        <row r="193">
          <cell r="D193" t="str">
            <v>OFA1</v>
          </cell>
          <cell r="E193" t="str">
            <v>OFA1 - Overwinter stubble (organic land)</v>
          </cell>
          <cell r="F193" t="str">
            <v>Revenue - Organic</v>
          </cell>
        </row>
        <row r="194">
          <cell r="D194" t="str">
            <v>SB1E</v>
          </cell>
          <cell r="E194" t="str">
            <v>SB1E - Scrub Control and Felling Diseased Trees</v>
          </cell>
          <cell r="F194" t="str">
            <v>Capital - Woodland and Scrub</v>
          </cell>
        </row>
        <row r="195">
          <cell r="D195" t="str">
            <v>CWD7</v>
          </cell>
          <cell r="E195" t="str">
            <v xml:space="preserve">CWD7 - Manage scrub and open habitat mosaics </v>
          </cell>
          <cell r="F195" t="str">
            <v>Revenue - Successional areas and scrub</v>
          </cell>
        </row>
        <row r="196">
          <cell r="D196" t="str">
            <v>CT5</v>
          </cell>
          <cell r="E196" t="str">
            <v>CT5 - Creation of inter-tidal and saline habitat by non-intervention</v>
          </cell>
          <cell r="F196" t="str">
            <v>Revenue - Coastal</v>
          </cell>
        </row>
        <row r="197">
          <cell r="D197" t="str">
            <v>CT5</v>
          </cell>
          <cell r="E197" t="str">
            <v>CT5 - Creation of inter-tidal and saline habitat by non-intervention</v>
          </cell>
          <cell r="F197" t="str">
            <v>Revenue - Coastal</v>
          </cell>
        </row>
        <row r="198">
          <cell r="D198" t="str">
            <v>CT5</v>
          </cell>
          <cell r="E198" t="str">
            <v>CT5 - Creation of inter-tidal and saline habitat by non-intervention</v>
          </cell>
          <cell r="F198" t="str">
            <v>Revenue - Coastal</v>
          </cell>
        </row>
        <row r="199">
          <cell r="D199" t="str">
            <v>CT5</v>
          </cell>
          <cell r="E199" t="str">
            <v>CT5 - Creation of inter-tidal and saline habitat by non-intervention</v>
          </cell>
          <cell r="F199" t="str">
            <v>Revenue - Coastal</v>
          </cell>
        </row>
        <row r="200">
          <cell r="D200" t="str">
            <v>TE4C</v>
          </cell>
          <cell r="E200" t="str">
            <v>TE4C - Woodland Tree Planting - Restock after a tree health issue</v>
          </cell>
          <cell r="F200" t="str">
            <v>Capital - Forestry</v>
          </cell>
        </row>
        <row r="201">
          <cell r="D201" t="str">
            <v>BN11</v>
          </cell>
          <cell r="E201" t="str">
            <v>BN11 - Planting new hedges</v>
          </cell>
          <cell r="F201" t="str">
            <v>Capital - Boundaries, Trees and Orchards</v>
          </cell>
        </row>
        <row r="202">
          <cell r="D202" t="str">
            <v>TE4C</v>
          </cell>
          <cell r="E202" t="str">
            <v>TE4C - Woodland Tree Planting - Restock after a tree health issue</v>
          </cell>
          <cell r="F202" t="str">
            <v>Capital - Forestry</v>
          </cell>
        </row>
        <row r="203">
          <cell r="D203" t="str">
            <v>BN11</v>
          </cell>
          <cell r="E203" t="str">
            <v>BN11 - Planting new hedges</v>
          </cell>
          <cell r="F203" t="str">
            <v>Capital - Boundaries, Trees and Orchards</v>
          </cell>
        </row>
        <row r="204">
          <cell r="D204" t="str">
            <v>BN4</v>
          </cell>
          <cell r="E204" t="str">
            <v>BN4 - Earth Bank Restoration</v>
          </cell>
          <cell r="F204" t="str">
            <v>Capital - Boundaries, Trees and Orchards</v>
          </cell>
        </row>
        <row r="205">
          <cell r="D205" t="str">
            <v>CWS2</v>
          </cell>
          <cell r="E205" t="str">
            <v>CWS2 - Supplement: Manage and restore plantations on ancient woodland sites (PAWS)</v>
          </cell>
          <cell r="F205" t="str">
            <v>Revenue - Woodland and trees</v>
          </cell>
        </row>
        <row r="206">
          <cell r="D206" t="str">
            <v>BN4</v>
          </cell>
          <cell r="E206" t="str">
            <v>BN4 - Earth Bank Restoration</v>
          </cell>
          <cell r="F206" t="str">
            <v>Capital - Boundaries, Trees and Orchards</v>
          </cell>
        </row>
        <row r="207">
          <cell r="D207" t="str">
            <v>SB1C</v>
          </cell>
          <cell r="E207" t="str">
            <v>SB1C - Scrub Control and Felling Diseased Trees</v>
          </cell>
          <cell r="F207" t="str">
            <v>Capital - Woodland and Scrub</v>
          </cell>
        </row>
        <row r="208">
          <cell r="D208" t="str">
            <v>IG3S</v>
          </cell>
          <cell r="E208" t="str">
            <v>IG3S - Improved Grassland soil</v>
          </cell>
          <cell r="F208" t="str">
            <v>Revenue - ELMS</v>
          </cell>
        </row>
        <row r="209">
          <cell r="D209" t="str">
            <v>IG3S</v>
          </cell>
          <cell r="E209" t="str">
            <v>IG3S - Improved Grassland soil</v>
          </cell>
          <cell r="F209" t="str">
            <v>Revenue - ELMS</v>
          </cell>
        </row>
        <row r="210">
          <cell r="D210" t="str">
            <v>RP17</v>
          </cell>
          <cell r="E210" t="str">
            <v>RP17 - Storage tanks underground</v>
          </cell>
          <cell r="F210" t="str">
            <v>Capital - Soil and Water</v>
          </cell>
        </row>
        <row r="211">
          <cell r="D211" t="str">
            <v>FW1C</v>
          </cell>
          <cell r="E211" t="str">
            <v>FW1C - Woodland Threat Awareness</v>
          </cell>
          <cell r="F211" t="str">
            <v>Revenue - ELMS</v>
          </cell>
        </row>
        <row r="212">
          <cell r="D212" t="str">
            <v>RP17</v>
          </cell>
          <cell r="E212" t="str">
            <v>RP17 - Storage tanks underground</v>
          </cell>
          <cell r="F212" t="str">
            <v>Capital - Soil and Water</v>
          </cell>
        </row>
        <row r="213">
          <cell r="D213" t="str">
            <v>CLH3</v>
          </cell>
          <cell r="E213" t="str">
            <v>CLH3 - Create lowland heathland</v>
          </cell>
          <cell r="F213" t="str">
            <v>Revenue - Lowland Heath</v>
          </cell>
        </row>
        <row r="214">
          <cell r="D214" t="str">
            <v>SB1C</v>
          </cell>
          <cell r="E214" t="str">
            <v>SB1C - Scrub Control and Felling Diseased Trees</v>
          </cell>
          <cell r="F214" t="str">
            <v>Capital - Woodland and Scrub</v>
          </cell>
        </row>
        <row r="215">
          <cell r="D215" t="str">
            <v>HE2</v>
          </cell>
          <cell r="E215" t="str">
            <v>HE2 - Historic building restoration</v>
          </cell>
          <cell r="F215" t="str">
            <v>Capital - Historic Environment and Landscape</v>
          </cell>
        </row>
        <row r="216">
          <cell r="D216" t="str">
            <v>CMOR1A</v>
          </cell>
          <cell r="E216" t="str">
            <v>CMOR1A - Assess moorland and produce a written record</v>
          </cell>
          <cell r="F216" t="str">
            <v>Revenue - Moorland</v>
          </cell>
        </row>
        <row r="217">
          <cell r="D217" t="str">
            <v>AH1S</v>
          </cell>
          <cell r="E217" t="str">
            <v>AH1S - Arable and Horticultural soil</v>
          </cell>
          <cell r="F217" t="str">
            <v>Revenue - ELMS</v>
          </cell>
        </row>
        <row r="218">
          <cell r="D218" t="str">
            <v>TE12</v>
          </cell>
          <cell r="E218" t="str">
            <v>TE12 - Stump Grinding</v>
          </cell>
          <cell r="F218" t="str">
            <v>Capital - Woodland and Scrub</v>
          </cell>
        </row>
        <row r="219">
          <cell r="D219" t="str">
            <v>TE12</v>
          </cell>
          <cell r="E219" t="str">
            <v>TE12 - Stump Grinding</v>
          </cell>
          <cell r="F219" t="str">
            <v>Capital - Woodland and Scrub</v>
          </cell>
        </row>
        <row r="220">
          <cell r="D220" t="str">
            <v>SS1A</v>
          </cell>
          <cell r="E220" t="str">
            <v>SS1A - Arable &amp; Horticultural Soils</v>
          </cell>
          <cell r="F220" t="str">
            <v>Revenue - ELMS</v>
          </cell>
        </row>
        <row r="221">
          <cell r="D221" t="str">
            <v>CNUM3</v>
          </cell>
          <cell r="E221" t="str">
            <v>CNUM3 - Legume fallow</v>
          </cell>
          <cell r="F221" t="str">
            <v>Revenue - Nutrient management</v>
          </cell>
        </row>
        <row r="222">
          <cell r="D222" t="str">
            <v>UPL1</v>
          </cell>
          <cell r="E222" t="str">
            <v>UPL1 - Moderate livestock grazing on moorland</v>
          </cell>
          <cell r="F222" t="str">
            <v>Revenue - Moorland</v>
          </cell>
        </row>
        <row r="223">
          <cell r="D223" t="str">
            <v>SS1A</v>
          </cell>
          <cell r="E223" t="str">
            <v>SS1A - Arable &amp; Horticultural Soils</v>
          </cell>
          <cell r="F223" t="str">
            <v>Revenue - ELMS</v>
          </cell>
        </row>
        <row r="224">
          <cell r="D224" t="str">
            <v>FG16</v>
          </cell>
          <cell r="E224" t="str">
            <v>FG16 - Deer Pedestrain Gate</v>
          </cell>
          <cell r="F224" t="str">
            <v>Capital - Forestry</v>
          </cell>
        </row>
        <row r="225">
          <cell r="D225" t="str">
            <v>FG16</v>
          </cell>
          <cell r="E225" t="str">
            <v>FG16 - Deer Pedestrain Gate</v>
          </cell>
          <cell r="F225" t="str">
            <v>Capital - Forestry</v>
          </cell>
        </row>
        <row r="226">
          <cell r="D226" t="str">
            <v>WD9</v>
          </cell>
          <cell r="E226" t="str">
            <v>WD9 - Livestock exclusion supplement - scrub and successional areas</v>
          </cell>
          <cell r="F226" t="str">
            <v>Revenue - Woodland and Scrub</v>
          </cell>
        </row>
        <row r="227">
          <cell r="D227" t="str">
            <v>FY1</v>
          </cell>
          <cell r="E227" t="str">
            <v>FY1 - Deer high seat / unit</v>
          </cell>
          <cell r="F227" t="str">
            <v>Capital - Forestry</v>
          </cell>
        </row>
        <row r="228">
          <cell r="D228" t="str">
            <v>FY1</v>
          </cell>
          <cell r="E228" t="str">
            <v>FY1 - Deer high seat / unit</v>
          </cell>
          <cell r="F228" t="str">
            <v>Capital - Forestry</v>
          </cell>
        </row>
        <row r="229">
          <cell r="D229" t="str">
            <v>WD9</v>
          </cell>
          <cell r="E229" t="str">
            <v>WD9 - Livestock exclusion supplement - scrub and successional areas</v>
          </cell>
          <cell r="F229" t="str">
            <v>Revenue - Woodland and Scrub</v>
          </cell>
        </row>
        <row r="230">
          <cell r="D230" t="str">
            <v>CBE4</v>
          </cell>
          <cell r="E230" t="str">
            <v>CBE4 - Manage traditional orchards</v>
          </cell>
          <cell r="F230" t="str">
            <v>Revenue - Orchards</v>
          </cell>
        </row>
        <row r="231">
          <cell r="D231" t="str">
            <v>AHL2</v>
          </cell>
          <cell r="E231" t="str">
            <v>AHL2 - Winter bird food on arable and horticultural land</v>
          </cell>
          <cell r="F231" t="str">
            <v>Revenue - ELMS</v>
          </cell>
        </row>
        <row r="232">
          <cell r="D232" t="str">
            <v>UPL3</v>
          </cell>
          <cell r="E232" t="str">
            <v>UPL3 - Limited livestock grazing on moorland</v>
          </cell>
          <cell r="F232" t="str">
            <v>Revenue - Moorland</v>
          </cell>
        </row>
        <row r="233">
          <cell r="D233" t="str">
            <v>SOH2</v>
          </cell>
          <cell r="E233" t="str">
            <v>SOH2 - Multi-species spring-sown cover crop</v>
          </cell>
          <cell r="F233" t="str">
            <v>Revenue - Improving soil health</v>
          </cell>
        </row>
        <row r="234">
          <cell r="D234" t="str">
            <v>RP23</v>
          </cell>
          <cell r="E234" t="str">
            <v>RP23 - Installation of livestock drinking troughs (in draining pens for freshly dipped sheep)</v>
          </cell>
          <cell r="F234" t="str">
            <v>Capital - Soil and Water</v>
          </cell>
        </row>
        <row r="235">
          <cell r="D235" t="str">
            <v>RP23</v>
          </cell>
          <cell r="E235" t="str">
            <v>RP23 - Installation of livestock drinking troughs (in draining pens for freshly dipped sheep)</v>
          </cell>
          <cell r="F235" t="str">
            <v>Capital - Soil and Water</v>
          </cell>
        </row>
        <row r="236">
          <cell r="D236" t="str">
            <v>GS2C</v>
          </cell>
          <cell r="E236" t="str">
            <v>GS2C - Additional Payment</v>
          </cell>
          <cell r="F236" t="str">
            <v>Revenue - ELMS</v>
          </cell>
        </row>
        <row r="237">
          <cell r="D237" t="str">
            <v>CMOR1</v>
          </cell>
          <cell r="E237" t="str">
            <v>CMOR1 - Assess moorland and produce a written record</v>
          </cell>
          <cell r="F237" t="str">
            <v>Revenue - Moorland</v>
          </cell>
        </row>
        <row r="238">
          <cell r="D238" t="str">
            <v>APO</v>
          </cell>
          <cell r="E238" t="str">
            <v>APO - Additional Parcel Option</v>
          </cell>
          <cell r="F238" t="str">
            <v>Additional Parcel Option</v>
          </cell>
        </row>
        <row r="239">
          <cell r="D239" t="str">
            <v>CUP7</v>
          </cell>
          <cell r="E239" t="str">
            <v>CUP7 - Supplement: Manage non-peat moorland soils for flood and drought resilience</v>
          </cell>
          <cell r="F239" t="str">
            <v>Revenue - Moorland</v>
          </cell>
        </row>
        <row r="240">
          <cell r="D240" t="str">
            <v>CWS8</v>
          </cell>
          <cell r="E240" t="str">
            <v>CWS8 - Supplement: Manage native woodland including ancient semi-natural woodlands (ASNW)</v>
          </cell>
          <cell r="F240" t="str">
            <v>Revenue - Woodland and trees</v>
          </cell>
        </row>
        <row r="241">
          <cell r="D241" t="str">
            <v>CHS2</v>
          </cell>
          <cell r="E241" t="str">
            <v>CHS2 - Take historic and archaeological features out of cultivation</v>
          </cell>
          <cell r="F241" t="str">
            <v>Revenue - Heritage</v>
          </cell>
        </row>
        <row r="242">
          <cell r="D242" t="str">
            <v>AHW9</v>
          </cell>
          <cell r="E242" t="str">
            <v>AHW9 - Unharvested cereal headland</v>
          </cell>
          <cell r="F242" t="str">
            <v>Revenue - Arable</v>
          </cell>
        </row>
        <row r="243">
          <cell r="D243" t="str">
            <v>CIPM4</v>
          </cell>
          <cell r="E243" t="str">
            <v>CIPM4 - No use of insecticide on arable crops and permanent crops</v>
          </cell>
          <cell r="F243" t="str">
            <v>Revenue - Integrated pest management</v>
          </cell>
        </row>
        <row r="244">
          <cell r="D244" t="str">
            <v>FG13</v>
          </cell>
          <cell r="E244" t="str">
            <v>FG13 - Stone Gate Post</v>
          </cell>
          <cell r="F244" t="str">
            <v>Capital - Uplands</v>
          </cell>
        </row>
        <row r="245">
          <cell r="D245" t="str">
            <v>FG13</v>
          </cell>
          <cell r="E245" t="str">
            <v>FG13 - Stone Gate Post</v>
          </cell>
          <cell r="F245" t="str">
            <v>Capital - Uplands</v>
          </cell>
        </row>
        <row r="246">
          <cell r="D246" t="str">
            <v>CCT2</v>
          </cell>
          <cell r="E246" t="str">
            <v>CCT2 - Make space for new coastal habitat</v>
          </cell>
          <cell r="F246" t="str">
            <v>Revenue - Coastal habitat</v>
          </cell>
        </row>
        <row r="247">
          <cell r="D247" t="str">
            <v>MR2G</v>
          </cell>
          <cell r="E247" t="str">
            <v>MR2G - Moorland and rough grazing</v>
          </cell>
          <cell r="F247" t="str">
            <v>Revenue - ELMS</v>
          </cell>
        </row>
        <row r="248">
          <cell r="D248" t="str">
            <v>SW9</v>
          </cell>
          <cell r="E248" t="str">
            <v>SW9 - Seasonal livestock removal on intensive grassland</v>
          </cell>
          <cell r="F248" t="str">
            <v>Revenue - Soil and Water</v>
          </cell>
        </row>
        <row r="249">
          <cell r="D249" t="str">
            <v>SB6B</v>
          </cell>
          <cell r="E249" t="str">
            <v>SB6B - Rhododendron control</v>
          </cell>
          <cell r="F249" t="str">
            <v>Capital - Forestry</v>
          </cell>
        </row>
        <row r="250">
          <cell r="D250" t="str">
            <v>SW9</v>
          </cell>
          <cell r="E250" t="str">
            <v>SW9 - Seasonal livestock removal on intensive grassland</v>
          </cell>
          <cell r="F250" t="str">
            <v>Revenue - Soil and Water</v>
          </cell>
        </row>
        <row r="251">
          <cell r="D251" t="str">
            <v>RP15</v>
          </cell>
          <cell r="E251" t="str">
            <v>RP15 - Concrete yard renewal</v>
          </cell>
          <cell r="F251" t="str">
            <v>Capital - Soil and Water</v>
          </cell>
        </row>
        <row r="252">
          <cell r="D252" t="str">
            <v>RP15</v>
          </cell>
          <cell r="E252" t="str">
            <v>RP15 - Concrete yard renewal</v>
          </cell>
          <cell r="F252" t="str">
            <v>Capital - Soil and Water</v>
          </cell>
        </row>
        <row r="253">
          <cell r="D253" t="str">
            <v>SW9</v>
          </cell>
          <cell r="E253" t="str">
            <v>SW9 - Seasonal livestock removal on intensive grassland</v>
          </cell>
          <cell r="F253" t="str">
            <v>Revenue - Soil and Water</v>
          </cell>
        </row>
        <row r="254">
          <cell r="D254" t="str">
            <v>SB6B</v>
          </cell>
          <cell r="E254" t="str">
            <v>SB6B - Rhododendron control</v>
          </cell>
          <cell r="F254" t="str">
            <v>Capital - Forestry</v>
          </cell>
        </row>
        <row r="255">
          <cell r="D255" t="str">
            <v>HS5</v>
          </cell>
          <cell r="E255" t="str">
            <v>HS5 - Management of historic and archaeological features on grassland</v>
          </cell>
          <cell r="F255" t="str">
            <v>Revenue - Historic Environment and Landscape</v>
          </cell>
        </row>
        <row r="256">
          <cell r="D256" t="str">
            <v>CGS17</v>
          </cell>
          <cell r="E256" t="str">
            <v>CGS17 - Supplement: Lenient grazing</v>
          </cell>
          <cell r="F256" t="str">
            <v>Revenue - Grassland</v>
          </cell>
        </row>
        <row r="257">
          <cell r="D257" t="str">
            <v>HS5</v>
          </cell>
          <cell r="E257" t="str">
            <v>HS5 - Management of historic and archaeological features on grassland</v>
          </cell>
          <cell r="F257" t="str">
            <v>Revenue - Historic Environment and Landscape</v>
          </cell>
        </row>
        <row r="258">
          <cell r="D258" t="str">
            <v>WT3</v>
          </cell>
          <cell r="E258" t="str">
            <v>WT3 - Management of ditches of high environmental value</v>
          </cell>
          <cell r="F258" t="str">
            <v>Revenue - Wetlands</v>
          </cell>
        </row>
        <row r="259">
          <cell r="D259" t="str">
            <v>UPL4</v>
          </cell>
          <cell r="E259" t="str">
            <v>UPL4 - Supplement: Keep cattle and ponies on moorland (minimum 30% GLU)</v>
          </cell>
          <cell r="F259" t="str">
            <v>Revenue - Moorland</v>
          </cell>
        </row>
        <row r="260">
          <cell r="D260" t="str">
            <v>HS5</v>
          </cell>
          <cell r="E260" t="str">
            <v>HS5 - Management of historic and archaeological features on grassland</v>
          </cell>
          <cell r="F260" t="str">
            <v>Revenue - Historic Environment and Landscape</v>
          </cell>
        </row>
        <row r="261">
          <cell r="D261" t="str">
            <v>WT3</v>
          </cell>
          <cell r="E261" t="str">
            <v>WT3 - Management of ditches of high environmental value</v>
          </cell>
          <cell r="F261" t="str">
            <v>Revenue - Wetlands</v>
          </cell>
        </row>
        <row r="262">
          <cell r="D262" t="str">
            <v>WT3</v>
          </cell>
          <cell r="E262" t="str">
            <v>WT3 - Management of ditches of high environmental value</v>
          </cell>
          <cell r="F262" t="str">
            <v>Revenue - Wetlands</v>
          </cell>
        </row>
        <row r="263">
          <cell r="D263" t="str">
            <v>HS5</v>
          </cell>
          <cell r="E263" t="str">
            <v>HS5 - Management of historic and archaeological features on grassland</v>
          </cell>
          <cell r="F263" t="str">
            <v>Revenue - Historic Environment and Landscape</v>
          </cell>
        </row>
        <row r="264">
          <cell r="D264" t="str">
            <v>CHRW1</v>
          </cell>
          <cell r="E264" t="str">
            <v>CHRW1 - Assess and record hedgerow condition</v>
          </cell>
          <cell r="F264" t="str">
            <v>Revenue - Boundaries</v>
          </cell>
        </row>
        <row r="265">
          <cell r="D265" t="str">
            <v>FG10</v>
          </cell>
          <cell r="E265" t="str">
            <v>FG10 - Temporary deer fencing / m</v>
          </cell>
          <cell r="F265" t="str">
            <v>Capital - Forestry</v>
          </cell>
        </row>
        <row r="266">
          <cell r="D266" t="str">
            <v>FG10</v>
          </cell>
          <cell r="E266" t="str">
            <v>FG10 - Temporary deer fencing / m</v>
          </cell>
          <cell r="F266" t="str">
            <v>Capital - Forestry</v>
          </cell>
        </row>
        <row r="267">
          <cell r="D267" t="str">
            <v>HEF4</v>
          </cell>
          <cell r="E267" t="str">
            <v>HEF4 - Reduce cultivation depths on historic and archaeological features</v>
          </cell>
          <cell r="F267" t="str">
            <v>Revenue - Heritage</v>
          </cell>
        </row>
        <row r="268">
          <cell r="D268" t="str">
            <v>SI3A</v>
          </cell>
          <cell r="E268" t="str">
            <v>SI3A - Low/no input Grassland</v>
          </cell>
          <cell r="F268" t="str">
            <v>Revenue - ELMS</v>
          </cell>
        </row>
        <row r="269">
          <cell r="D269" t="str">
            <v>BE3</v>
          </cell>
          <cell r="E269" t="str">
            <v>BE3 - Management of hedgerows</v>
          </cell>
          <cell r="F269" t="str">
            <v>Revenue - Boundaries, Trees and Orchards</v>
          </cell>
        </row>
        <row r="270">
          <cell r="D270" t="str">
            <v>SI3A</v>
          </cell>
          <cell r="E270" t="str">
            <v>SI3A - Low/no input Grassland</v>
          </cell>
          <cell r="F270" t="str">
            <v>Revenue - ELMS</v>
          </cell>
        </row>
        <row r="271">
          <cell r="D271" t="str">
            <v>OFC3</v>
          </cell>
          <cell r="E271" t="str">
            <v>OFC3 - Organic conversion - rotational land</v>
          </cell>
          <cell r="F271" t="str">
            <v>Revenue - Organic</v>
          </cell>
        </row>
        <row r="272">
          <cell r="D272" t="str">
            <v>BE3</v>
          </cell>
          <cell r="E272" t="str">
            <v>BE3 - Management of hedgerows</v>
          </cell>
          <cell r="F272" t="str">
            <v>Revenue - Boundaries, Trees and Orchards</v>
          </cell>
        </row>
        <row r="273">
          <cell r="D273" t="str">
            <v>GS7</v>
          </cell>
          <cell r="E273" t="str">
            <v>GS7 - Restoration towards species-rich grassland</v>
          </cell>
          <cell r="F273" t="str">
            <v>Revenue - Grassland</v>
          </cell>
        </row>
        <row r="274">
          <cell r="D274" t="str">
            <v>BE3</v>
          </cell>
          <cell r="E274" t="str">
            <v>BE3 - Management of hedgerows</v>
          </cell>
          <cell r="F274" t="str">
            <v>Revenue - Boundaries, Trees and Orchards</v>
          </cell>
        </row>
        <row r="275">
          <cell r="D275" t="str">
            <v>GS7</v>
          </cell>
          <cell r="E275" t="str">
            <v>GS7 - Restoration towards species-rich grassland</v>
          </cell>
          <cell r="F275" t="str">
            <v>Revenue - Grassland</v>
          </cell>
        </row>
        <row r="276">
          <cell r="D276" t="str">
            <v>BE3</v>
          </cell>
          <cell r="E276" t="str">
            <v>BE3 - Management of hedgerows</v>
          </cell>
          <cell r="F276" t="str">
            <v>Revenue - Boundaries, Trees and Orchards</v>
          </cell>
        </row>
        <row r="277">
          <cell r="D277" t="str">
            <v>GS7</v>
          </cell>
          <cell r="E277" t="str">
            <v>GS7 - Restoration towards species-rich grassland</v>
          </cell>
          <cell r="F277" t="str">
            <v>Revenue - Grassland</v>
          </cell>
        </row>
        <row r="278">
          <cell r="D278" t="str">
            <v>GS7</v>
          </cell>
          <cell r="E278" t="str">
            <v>GS7 - Restoration towards species-rich grassland</v>
          </cell>
          <cell r="F278" t="str">
            <v>Revenue - Grassland</v>
          </cell>
        </row>
        <row r="279">
          <cell r="D279" t="str">
            <v>GS7</v>
          </cell>
          <cell r="E279" t="str">
            <v>GS7 - Restoration towards species-rich grassland</v>
          </cell>
          <cell r="F279" t="str">
            <v>Revenue - Grassland</v>
          </cell>
        </row>
        <row r="280">
          <cell r="D280" t="str">
            <v>SI3A</v>
          </cell>
          <cell r="E280" t="str">
            <v>SI3A - Low/no input Grassland</v>
          </cell>
          <cell r="F280" t="str">
            <v>Revenue - ELMS</v>
          </cell>
        </row>
        <row r="281">
          <cell r="D281" t="str">
            <v>BE5</v>
          </cell>
          <cell r="E281" t="str">
            <v>BE5 - Creation of traditional orchards</v>
          </cell>
          <cell r="F281" t="str">
            <v>Revenue - Boundaries, Trees and Orchards</v>
          </cell>
        </row>
        <row r="282">
          <cell r="D282" t="str">
            <v>FM2</v>
          </cell>
          <cell r="E282" t="str">
            <v>FM2 - Major preparatory work for Priority Habitats (creation and restoration) and Priority Species</v>
          </cell>
          <cell r="F282" t="str">
            <v>Capital - Cross-cutting</v>
          </cell>
        </row>
        <row r="283">
          <cell r="D283" t="str">
            <v>HS1A</v>
          </cell>
          <cell r="E283" t="str">
            <v>HS1A - Hedgerow</v>
          </cell>
          <cell r="F283" t="str">
            <v>Revenue - ELMS</v>
          </cell>
        </row>
        <row r="284">
          <cell r="D284" t="str">
            <v>BE5</v>
          </cell>
          <cell r="E284" t="str">
            <v>BE5 - Creation of traditional orchards</v>
          </cell>
          <cell r="F284" t="str">
            <v>Revenue - Boundaries, Trees and Orchards</v>
          </cell>
        </row>
        <row r="285">
          <cell r="D285" t="str">
            <v>BE5</v>
          </cell>
          <cell r="E285" t="str">
            <v>BE5 - Creation of traditional orchards</v>
          </cell>
          <cell r="F285" t="str">
            <v>Revenue - Boundaries, Trees and Orchards</v>
          </cell>
        </row>
        <row r="286">
          <cell r="D286" t="str">
            <v>BE5</v>
          </cell>
          <cell r="E286" t="str">
            <v>BE5 - Creation of traditional orchards</v>
          </cell>
          <cell r="F286" t="str">
            <v>Revenue - Boundaries, Trees and Orchards</v>
          </cell>
        </row>
        <row r="287">
          <cell r="D287" t="str">
            <v>HS1A</v>
          </cell>
          <cell r="E287" t="str">
            <v>HS1A - Hedgerow</v>
          </cell>
          <cell r="F287" t="str">
            <v>Revenue - ELMS</v>
          </cell>
        </row>
        <row r="288">
          <cell r="D288" t="str">
            <v>AHW1</v>
          </cell>
          <cell r="E288" t="str">
            <v>AHW1 - Bumblebird mix</v>
          </cell>
          <cell r="F288" t="str">
            <v>Revenue - Arable</v>
          </cell>
        </row>
        <row r="289">
          <cell r="D289" t="str">
            <v>HS1A</v>
          </cell>
          <cell r="E289" t="str">
            <v>HS1A - Hedgerow</v>
          </cell>
          <cell r="F289" t="str">
            <v>Revenue - ELMS</v>
          </cell>
        </row>
        <row r="290">
          <cell r="D290" t="str">
            <v>SW13</v>
          </cell>
          <cell r="E290" t="str">
            <v>SW13 - Very low nitrogen inputs to groundwaters</v>
          </cell>
          <cell r="F290" t="str">
            <v>Revenue - Soil and Water</v>
          </cell>
        </row>
        <row r="291">
          <cell r="D291" t="str">
            <v>CWD20</v>
          </cell>
          <cell r="E291" t="str">
            <v>CWD20 - Create wood pasture</v>
          </cell>
          <cell r="F291" t="str">
            <v>Revenue - Wood pasture</v>
          </cell>
        </row>
        <row r="292">
          <cell r="D292" t="str">
            <v>WN7</v>
          </cell>
          <cell r="E292" t="str">
            <v>WN7 - Restoration of large water bodies</v>
          </cell>
          <cell r="F292" t="str">
            <v>Capital - Wetlands</v>
          </cell>
        </row>
        <row r="293">
          <cell r="D293" t="str">
            <v>CWD8</v>
          </cell>
          <cell r="E293" t="str">
            <v>CWD8 - Create scrub and open habitat mosaics</v>
          </cell>
          <cell r="F293" t="str">
            <v>Revenue - Successional areas and scrub</v>
          </cell>
        </row>
        <row r="294">
          <cell r="D294" t="str">
            <v>SW13</v>
          </cell>
          <cell r="E294" t="str">
            <v>SW13 - Very low nitrogen inputs to groundwaters</v>
          </cell>
          <cell r="F294" t="str">
            <v>Revenue - Soil and Water</v>
          </cell>
        </row>
        <row r="295">
          <cell r="D295" t="str">
            <v>FG5</v>
          </cell>
          <cell r="E295" t="str">
            <v>FG5 - Fencing supplement - difficult sites</v>
          </cell>
          <cell r="F295" t="str">
            <v>Capital - Soil and Water</v>
          </cell>
        </row>
        <row r="296">
          <cell r="D296" t="str">
            <v>SW13</v>
          </cell>
          <cell r="E296" t="str">
            <v>SW13 - Very low nitrogen inputs to groundwaters</v>
          </cell>
          <cell r="F296" t="str">
            <v>Revenue - Soil and Water</v>
          </cell>
        </row>
        <row r="297">
          <cell r="D297" t="str">
            <v>FG5</v>
          </cell>
          <cell r="E297" t="str">
            <v>FG5 - Fencing supplement - difficult sites</v>
          </cell>
          <cell r="F297" t="str">
            <v>Capital - Soil and Water</v>
          </cell>
        </row>
        <row r="298">
          <cell r="D298" t="str">
            <v>AHL3</v>
          </cell>
          <cell r="E298" t="str">
            <v>AHL3 - Grassy field corners or blocks</v>
          </cell>
          <cell r="F298" t="str">
            <v>Revenue - ELMS</v>
          </cell>
        </row>
        <row r="299">
          <cell r="D299" t="str">
            <v>AHL4</v>
          </cell>
          <cell r="E299" t="str">
            <v>AHL4 - 4m to 12m grass buffer strip on arable and horticultural land</v>
          </cell>
          <cell r="F299" t="str">
            <v>Revenue - ELMS</v>
          </cell>
        </row>
        <row r="300">
          <cell r="D300" t="str">
            <v>SP10</v>
          </cell>
          <cell r="E300" t="str">
            <v>SP10 - Administration of group managed agreements supplement</v>
          </cell>
          <cell r="F300" t="str">
            <v>Revenue - Uplands</v>
          </cell>
        </row>
        <row r="301">
          <cell r="D301" t="str">
            <v>CSAM3</v>
          </cell>
          <cell r="E301" t="str">
            <v>CSAM3 - Herbal leys</v>
          </cell>
          <cell r="F301" t="str">
            <v>Revenue - Improving soil health</v>
          </cell>
        </row>
        <row r="302">
          <cell r="D302" t="str">
            <v>RP4</v>
          </cell>
          <cell r="E302" t="str">
            <v>RP4 - Livestock and machinery hardcore tracks</v>
          </cell>
          <cell r="F302" t="str">
            <v>Capital - Soil and Water</v>
          </cell>
        </row>
        <row r="303">
          <cell r="D303" t="str">
            <v>RP4</v>
          </cell>
          <cell r="E303" t="str">
            <v>RP4 - Livestock and machinery hardcore tracks</v>
          </cell>
          <cell r="F303" t="str">
            <v>Capital - Soil and Water</v>
          </cell>
        </row>
        <row r="304">
          <cell r="D304" t="str">
            <v>SP10</v>
          </cell>
          <cell r="E304" t="str">
            <v>SP10 - Administration of group managed agreements supplement</v>
          </cell>
          <cell r="F304" t="str">
            <v>Revenue - Uplands</v>
          </cell>
        </row>
        <row r="305">
          <cell r="D305" t="str">
            <v>SP10</v>
          </cell>
          <cell r="E305" t="str">
            <v>SP10 - Administration of group managed agreements supplement</v>
          </cell>
          <cell r="F305" t="str">
            <v>Revenue - Uplands</v>
          </cell>
        </row>
        <row r="306">
          <cell r="D306" t="str">
            <v>GS5</v>
          </cell>
          <cell r="E306" t="str">
            <v>GS5 - Permanent grassland with very low inputs in SDA</v>
          </cell>
          <cell r="F306" t="str">
            <v>Revenue - Grassland</v>
          </cell>
        </row>
        <row r="307">
          <cell r="D307" t="str">
            <v>GS5</v>
          </cell>
          <cell r="E307" t="str">
            <v>GS5 - Permanent grassland with very low inputs in SDA</v>
          </cell>
          <cell r="F307" t="str">
            <v>Revenue - Grassland</v>
          </cell>
        </row>
        <row r="308">
          <cell r="D308" t="str">
            <v>GS5</v>
          </cell>
          <cell r="E308" t="str">
            <v>GS5 - Permanent grassland with very low inputs in SDA</v>
          </cell>
          <cell r="F308" t="str">
            <v>Revenue - Grassland</v>
          </cell>
        </row>
        <row r="309">
          <cell r="D309" t="str">
            <v>SW15</v>
          </cell>
          <cell r="E309" t="str">
            <v>SW15 - Flood mitigation on arable reversion to grassland</v>
          </cell>
          <cell r="F309" t="str">
            <v>Revenue - Soil and Water</v>
          </cell>
        </row>
        <row r="310">
          <cell r="D310" t="str">
            <v>SW15</v>
          </cell>
          <cell r="E310" t="str">
            <v>SW15 - Flood mitigation on arable reversion to grassland</v>
          </cell>
          <cell r="F310" t="str">
            <v>Revenue - Soil and Water</v>
          </cell>
        </row>
        <row r="311">
          <cell r="D311" t="str">
            <v>SW2</v>
          </cell>
          <cell r="E311" t="str">
            <v>SW2 - 4-6m buffer strip on intensive grassland</v>
          </cell>
          <cell r="F311" t="str">
            <v>Revenue - Soil and Water</v>
          </cell>
        </row>
        <row r="312">
          <cell r="D312" t="str">
            <v>SW15</v>
          </cell>
          <cell r="E312" t="str">
            <v>SW15 - Flood mitigation on arable reversion to grassland</v>
          </cell>
          <cell r="F312" t="str">
            <v>Revenue - Soil and Water</v>
          </cell>
        </row>
        <row r="313">
          <cell r="D313" t="str">
            <v>SW2</v>
          </cell>
          <cell r="E313" t="str">
            <v>SW2 - 4-6m buffer strip on intensive grassland</v>
          </cell>
          <cell r="F313" t="str">
            <v>Revenue - Soil and Water</v>
          </cell>
        </row>
        <row r="314">
          <cell r="D314" t="str">
            <v>PA5</v>
          </cell>
          <cell r="E314" t="str">
            <v>PA5 - Moorland Mapping</v>
          </cell>
          <cell r="F314" t="str">
            <v>Capital - Cross-cutting</v>
          </cell>
        </row>
        <row r="315">
          <cell r="D315" t="str">
            <v>CIGL3</v>
          </cell>
          <cell r="E315" t="str">
            <v>CIGL3 - 4m to 12m grass buffer strip on improved grassland</v>
          </cell>
          <cell r="F315" t="str">
            <v>Revenue - Grassland</v>
          </cell>
        </row>
        <row r="316">
          <cell r="D316" t="str">
            <v>SW2</v>
          </cell>
          <cell r="E316" t="str">
            <v>SW2 - 4-6m buffer strip on intensive grassland</v>
          </cell>
          <cell r="F316" t="str">
            <v>Revenue - Soil and Water</v>
          </cell>
        </row>
        <row r="317">
          <cell r="D317" t="str">
            <v>AB7</v>
          </cell>
          <cell r="E317" t="str">
            <v>AB7 - Wholecrop cereals</v>
          </cell>
          <cell r="F317" t="str">
            <v>Revenue - Arable</v>
          </cell>
        </row>
        <row r="318">
          <cell r="D318" t="str">
            <v>SP7</v>
          </cell>
          <cell r="E318" t="str">
            <v>SP7 - Introduction of cattle grazing on the Scilly Isles</v>
          </cell>
          <cell r="F318" t="str">
            <v>Revenue - Isles of Scilly</v>
          </cell>
        </row>
        <row r="319">
          <cell r="D319" t="str">
            <v>MOR1</v>
          </cell>
          <cell r="E319" t="str">
            <v>MOR1 - Assess moorland and produce a written record</v>
          </cell>
          <cell r="F319" t="str">
            <v>Revenue - ELMS</v>
          </cell>
        </row>
        <row r="320">
          <cell r="D320" t="str">
            <v>AB7</v>
          </cell>
          <cell r="E320" t="str">
            <v>AB7 - Wholecrop cereals</v>
          </cell>
          <cell r="F320" t="str">
            <v>Revenue - Arable</v>
          </cell>
        </row>
        <row r="321">
          <cell r="D321" t="str">
            <v>AB7</v>
          </cell>
          <cell r="E321" t="str">
            <v>AB7 - Wholecrop cereals</v>
          </cell>
          <cell r="F321" t="str">
            <v>Revenue - Arable</v>
          </cell>
        </row>
        <row r="322">
          <cell r="D322" t="str">
            <v>AB7</v>
          </cell>
          <cell r="E322" t="str">
            <v>AB7 - Wholecrop cereals</v>
          </cell>
          <cell r="F322" t="str">
            <v>Revenue - Arable</v>
          </cell>
        </row>
        <row r="323">
          <cell r="D323" t="str">
            <v>PA7</v>
          </cell>
          <cell r="E323" t="str">
            <v>PA7 - Species Management Plan</v>
          </cell>
          <cell r="F323" t="str">
            <v>Capital - Cross-cutting</v>
          </cell>
        </row>
        <row r="324">
          <cell r="D324" t="str">
            <v>SB5</v>
          </cell>
          <cell r="E324" t="str">
            <v>SB5 - Mechanical bracken control</v>
          </cell>
          <cell r="F324" t="str">
            <v>Capital - Lowland Heathland</v>
          </cell>
        </row>
        <row r="325">
          <cell r="D325" t="str">
            <v>CSW14</v>
          </cell>
          <cell r="E325" t="str">
            <v>CSW14 - Supplement: Nil fertiliser</v>
          </cell>
          <cell r="F325" t="str">
            <v>Revenue - Improving soil health</v>
          </cell>
        </row>
        <row r="326">
          <cell r="D326" t="str">
            <v>SB5</v>
          </cell>
          <cell r="E326" t="str">
            <v>SB5 - Mechanical bracken control</v>
          </cell>
          <cell r="F326" t="str">
            <v>Capital - Lowland Heathland</v>
          </cell>
        </row>
        <row r="327">
          <cell r="D327" t="str">
            <v>CSW19</v>
          </cell>
          <cell r="E327" t="str">
            <v>CSW19 - Raise water levels in cropped or arable peat soils</v>
          </cell>
          <cell r="F327" t="str">
            <v>Revenue - Lowland Peat</v>
          </cell>
        </row>
        <row r="328">
          <cell r="D328" t="str">
            <v>CSAM1</v>
          </cell>
          <cell r="E328" t="str">
            <v>CSAM1 - Assess soil, test soil organic matter and produce a soil management plan</v>
          </cell>
          <cell r="F328" t="str">
            <v>Revenue - Improving soil health</v>
          </cell>
        </row>
        <row r="329">
          <cell r="D329" t="str">
            <v>TE7</v>
          </cell>
          <cell r="E329" t="str">
            <v>TE7 - Tree guard (Wood post and rail)</v>
          </cell>
          <cell r="F329" t="str">
            <v>Capital - Boundaries, Trees and Orchards</v>
          </cell>
        </row>
        <row r="330">
          <cell r="D330" t="str">
            <v>TE7</v>
          </cell>
          <cell r="E330" t="str">
            <v>TE7 - Tree guard (Wood post and rail)</v>
          </cell>
          <cell r="F330" t="str">
            <v>Capital - Boundaries, Trees and Orchards</v>
          </cell>
        </row>
        <row r="331">
          <cell r="D331" t="str">
            <v>SPM5</v>
          </cell>
          <cell r="E331" t="str">
            <v>SPM5 - Supplement: Keep native breeds on extensively managed habitats (more than 80%)</v>
          </cell>
          <cell r="F331" t="str">
            <v>Revenue - Species recovery and management</v>
          </cell>
        </row>
        <row r="332">
          <cell r="D332" t="str">
            <v>BFS5</v>
          </cell>
          <cell r="E332" t="str">
            <v>BFS5 - Protect in-field trees on intensive grassland</v>
          </cell>
          <cell r="F332" t="str">
            <v>Revenue - Grassland</v>
          </cell>
        </row>
        <row r="333">
          <cell r="D333" t="str">
            <v>WN4</v>
          </cell>
          <cell r="E333" t="str">
            <v>WN4 - Ditch, Dyke and Rhine Creation</v>
          </cell>
          <cell r="F333" t="str">
            <v>Capital - Wetlands</v>
          </cell>
        </row>
        <row r="334">
          <cell r="D334" t="str">
            <v>AHW4</v>
          </cell>
          <cell r="E334" t="str">
            <v>AHW4 - Skylark plots</v>
          </cell>
          <cell r="F334" t="str">
            <v>Revenue - Arable</v>
          </cell>
        </row>
        <row r="335">
          <cell r="D335" t="str">
            <v>WN4</v>
          </cell>
          <cell r="E335" t="str">
            <v>WN4 - Ditch, Dyke and Rhine Creation</v>
          </cell>
          <cell r="F335" t="str">
            <v>Capital - Wetlands</v>
          </cell>
        </row>
        <row r="336">
          <cell r="D336" t="str">
            <v>AL3B</v>
          </cell>
          <cell r="E336" t="str">
            <v>AL3B - Additional Payment</v>
          </cell>
          <cell r="F336" t="str">
            <v>Revenue - ELMS</v>
          </cell>
        </row>
        <row r="337">
          <cell r="D337" t="str">
            <v>AL3B</v>
          </cell>
          <cell r="E337" t="str">
            <v>AL3B - Additional Payment</v>
          </cell>
          <cell r="F337" t="str">
            <v>Revenue - ELMS</v>
          </cell>
        </row>
        <row r="338">
          <cell r="D338" t="str">
            <v>WT9</v>
          </cell>
          <cell r="E338" t="str">
            <v>WT9 - Creation of fen</v>
          </cell>
          <cell r="F338" t="str">
            <v>Revenue - Wetlands</v>
          </cell>
        </row>
        <row r="339">
          <cell r="D339" t="str">
            <v>LV6</v>
          </cell>
          <cell r="E339" t="str">
            <v>LV6 - Ram pumps and pipework/unit</v>
          </cell>
          <cell r="F339" t="str">
            <v>Capital - Soil and Water</v>
          </cell>
        </row>
        <row r="340">
          <cell r="D340" t="str">
            <v>WT9</v>
          </cell>
          <cell r="E340" t="str">
            <v>WT9 - Creation of fen</v>
          </cell>
          <cell r="F340" t="str">
            <v>Revenue - Wetlands</v>
          </cell>
        </row>
        <row r="341">
          <cell r="D341" t="str">
            <v>UPL9</v>
          </cell>
          <cell r="E341" t="str">
            <v>UPL9 - Shepherding livestock on moorland (remove stock for at least 6 months)</v>
          </cell>
          <cell r="F341" t="str">
            <v>Revenue - Moorland</v>
          </cell>
        </row>
        <row r="342">
          <cell r="D342" t="str">
            <v>WT9</v>
          </cell>
          <cell r="E342" t="str">
            <v>WT9 - Creation of fen</v>
          </cell>
          <cell r="F342" t="str">
            <v>Revenue - Wetlands</v>
          </cell>
        </row>
        <row r="343">
          <cell r="D343" t="str">
            <v>LV6</v>
          </cell>
          <cell r="E343" t="str">
            <v>LV6 - Ram pumps and pipework/unit</v>
          </cell>
          <cell r="F343" t="str">
            <v>Capital - Soil and Water</v>
          </cell>
        </row>
        <row r="344">
          <cell r="D344" t="str">
            <v>WT9</v>
          </cell>
          <cell r="E344" t="str">
            <v>WT9 - Creation of fen</v>
          </cell>
          <cell r="F344" t="str">
            <v>Revenue - Wetlands</v>
          </cell>
        </row>
        <row r="345">
          <cell r="D345" t="str">
            <v>GS17</v>
          </cell>
          <cell r="E345" t="str">
            <v>GS17 - Lenient Grazing Supplement</v>
          </cell>
          <cell r="F345" t="str">
            <v>Revenue - Grassland</v>
          </cell>
        </row>
        <row r="346">
          <cell r="D346" t="str">
            <v>TE14</v>
          </cell>
          <cell r="E346" t="str">
            <v>TE14 - Identification of orchard fruit tree varieties</v>
          </cell>
          <cell r="F346" t="str">
            <v>Capital - Boundaries, Trees and Orchards</v>
          </cell>
        </row>
        <row r="347">
          <cell r="D347" t="str">
            <v>GS17</v>
          </cell>
          <cell r="E347" t="str">
            <v>GS17 - Lenient Grazing Supplement</v>
          </cell>
          <cell r="F347" t="str">
            <v>Revenue - Grassland</v>
          </cell>
        </row>
        <row r="348">
          <cell r="D348" t="str">
            <v>BN10</v>
          </cell>
          <cell r="E348" t="str">
            <v>BN10 - Hedgerow Supplement - Top Binding and Staking</v>
          </cell>
          <cell r="F348" t="str">
            <v>Capital - Boundaries, Trees and Orchards</v>
          </cell>
        </row>
        <row r="349">
          <cell r="D349" t="str">
            <v>GS17</v>
          </cell>
          <cell r="E349" t="str">
            <v>GS17 - Lenient Grazing Supplement</v>
          </cell>
          <cell r="F349" t="str">
            <v>Revenue - Grassland</v>
          </cell>
        </row>
        <row r="350">
          <cell r="D350" t="str">
            <v>BN10</v>
          </cell>
          <cell r="E350" t="str">
            <v>BN10 - Hedgerow Supplement - Top Binding and Staking</v>
          </cell>
          <cell r="F350" t="str">
            <v>Capital - Boundaries, Trees and Orchards</v>
          </cell>
        </row>
        <row r="351">
          <cell r="D351" t="str">
            <v>TE14</v>
          </cell>
          <cell r="E351" t="str">
            <v>TE14 - Identification of orchard fruit tree varieties</v>
          </cell>
          <cell r="F351" t="str">
            <v>Capital - Boundaries, Trees and Orchards</v>
          </cell>
        </row>
        <row r="352">
          <cell r="D352" t="str">
            <v>SB1D</v>
          </cell>
          <cell r="E352" t="str">
            <v>SB1D - Scrub Control and Felling Diseased Trees</v>
          </cell>
          <cell r="F352" t="str">
            <v>Capital - Woodland and Scrub</v>
          </cell>
        </row>
        <row r="353">
          <cell r="D353" t="str">
            <v>SP1</v>
          </cell>
          <cell r="E353" t="str">
            <v>SP1 - Difficult sites supplement</v>
          </cell>
          <cell r="F353" t="str">
            <v>Revenue - Grassland</v>
          </cell>
        </row>
        <row r="354">
          <cell r="D354" t="str">
            <v>SP1</v>
          </cell>
          <cell r="E354" t="str">
            <v>SP1 - Difficult sites supplement</v>
          </cell>
          <cell r="F354" t="str">
            <v>Revenue - Grassland</v>
          </cell>
        </row>
        <row r="355">
          <cell r="D355" t="str">
            <v>GS1A</v>
          </cell>
          <cell r="E355" t="str">
            <v>GS1A - Improved Grassland Soils</v>
          </cell>
          <cell r="F355" t="str">
            <v>Revenue - ELMS</v>
          </cell>
        </row>
        <row r="356">
          <cell r="D356" t="str">
            <v>SP1</v>
          </cell>
          <cell r="E356" t="str">
            <v>SP1 - Difficult sites supplement</v>
          </cell>
          <cell r="F356" t="str">
            <v>Revenue - Grassland</v>
          </cell>
        </row>
        <row r="357">
          <cell r="D357" t="str">
            <v>RP25</v>
          </cell>
          <cell r="E357" t="str">
            <v>RP25 - Lined biobed with existing washdown area</v>
          </cell>
          <cell r="F357" t="str">
            <v>Capital - Soil and Water</v>
          </cell>
        </row>
        <row r="358">
          <cell r="D358" t="str">
            <v>RP25</v>
          </cell>
          <cell r="E358" t="str">
            <v>RP25 - Lined biobed with existing washdown area</v>
          </cell>
          <cell r="F358" t="str">
            <v>Capital - Soil and Water</v>
          </cell>
        </row>
        <row r="359">
          <cell r="D359" t="str">
            <v>GS1A</v>
          </cell>
          <cell r="E359" t="str">
            <v>GS1A - Improved Grassland Soils</v>
          </cell>
          <cell r="F359" t="str">
            <v>Revenue - ELMS</v>
          </cell>
        </row>
        <row r="360">
          <cell r="D360" t="str">
            <v>SB1D</v>
          </cell>
          <cell r="E360" t="str">
            <v>SB1D - Scrub Control and Felling Diseased Trees</v>
          </cell>
          <cell r="F360" t="str">
            <v>Capital - Woodland and Scrub</v>
          </cell>
        </row>
        <row r="361">
          <cell r="D361" t="str">
            <v>SP1</v>
          </cell>
          <cell r="E361" t="str">
            <v>SP1 - Difficult sites supplement</v>
          </cell>
          <cell r="F361" t="str">
            <v>Revenue - Grassland</v>
          </cell>
        </row>
        <row r="362">
          <cell r="D362" t="str">
            <v>CIPM2</v>
          </cell>
          <cell r="E362" t="str">
            <v>CIPM2 - Flower-rich grass margins, blocks or in-field strips</v>
          </cell>
          <cell r="F362" t="str">
            <v>Revenue - Integrated pest management</v>
          </cell>
        </row>
        <row r="363">
          <cell r="D363" t="str">
            <v>BN12</v>
          </cell>
          <cell r="E363" t="str">
            <v>BN12 - Stone Wall Restoration</v>
          </cell>
          <cell r="F363" t="str">
            <v>Capital - Boundaries, Trees and Orchards</v>
          </cell>
        </row>
        <row r="364">
          <cell r="D364" t="str">
            <v>BN12</v>
          </cell>
          <cell r="E364" t="str">
            <v>BN12 - Stone Wall Restoration</v>
          </cell>
          <cell r="F364" t="str">
            <v>Capital - Boundaries, Trees and Orchards</v>
          </cell>
        </row>
        <row r="365">
          <cell r="D365" t="str">
            <v>GS11</v>
          </cell>
          <cell r="E365" t="str">
            <v>GS11 - Creation of wet grassland for breeding waders</v>
          </cell>
          <cell r="F365" t="str">
            <v>Revenue - Grassland</v>
          </cell>
        </row>
        <row r="366">
          <cell r="D366" t="str">
            <v>GS11</v>
          </cell>
          <cell r="E366" t="str">
            <v>GS11 - Creation of wet grassland for breeding waders</v>
          </cell>
          <cell r="F366" t="str">
            <v>Revenue - Grassland</v>
          </cell>
        </row>
        <row r="367">
          <cell r="D367" t="str">
            <v>GS11</v>
          </cell>
          <cell r="E367" t="str">
            <v>GS11 - Creation of wet grassland for breeding waders</v>
          </cell>
          <cell r="F367" t="str">
            <v>Revenue - Grassland</v>
          </cell>
        </row>
        <row r="368">
          <cell r="D368" t="str">
            <v>GS11</v>
          </cell>
          <cell r="E368" t="str">
            <v>GS11 - Creation of wet grassland for breeding waders</v>
          </cell>
          <cell r="F368" t="str">
            <v>Revenue - Grassland</v>
          </cell>
        </row>
        <row r="369">
          <cell r="D369" t="str">
            <v>FG17</v>
          </cell>
          <cell r="E369" t="str">
            <v>FG17 - Deer Vehicle Gate</v>
          </cell>
          <cell r="F369" t="str">
            <v>Capital - Forestry</v>
          </cell>
        </row>
        <row r="370">
          <cell r="D370" t="str">
            <v>FG17</v>
          </cell>
          <cell r="E370" t="str">
            <v>FG17 - Deer Vehicle Gate</v>
          </cell>
          <cell r="F370" t="str">
            <v>Capital - Forestry</v>
          </cell>
        </row>
        <row r="371">
          <cell r="D371" t="str">
            <v>BND1</v>
          </cell>
          <cell r="E371" t="str">
            <v>BND1 - Maintain dry stone walls</v>
          </cell>
          <cell r="F371" t="str">
            <v>Revenue - Boundaries</v>
          </cell>
        </row>
        <row r="372">
          <cell r="D372" t="str">
            <v>OT4</v>
          </cell>
          <cell r="E372" t="str">
            <v>OT4 - Organic Land Management - Horticulture</v>
          </cell>
          <cell r="F372" t="str">
            <v>Revenue - Organic maintenance</v>
          </cell>
        </row>
        <row r="373">
          <cell r="D373" t="str">
            <v>OT4</v>
          </cell>
          <cell r="E373" t="str">
            <v>OT4 - Organic Land Management - Horticulture</v>
          </cell>
          <cell r="F373" t="str">
            <v>Revenue - Organic maintenance</v>
          </cell>
        </row>
        <row r="374">
          <cell r="D374" t="str">
            <v>OT4</v>
          </cell>
          <cell r="E374" t="str">
            <v>OT4 - Organic Land Management - Horticulture</v>
          </cell>
          <cell r="F374" t="str">
            <v>Revenue - Organic maintenance</v>
          </cell>
        </row>
        <row r="375">
          <cell r="D375" t="str">
            <v>OT4</v>
          </cell>
          <cell r="E375" t="str">
            <v>OT4 - Organic Land Management - Horticulture</v>
          </cell>
          <cell r="F375" t="str">
            <v>Revenue - Organic maintenance</v>
          </cell>
        </row>
        <row r="376">
          <cell r="D376" t="str">
            <v>CT3</v>
          </cell>
          <cell r="E376" t="str">
            <v>CT3 - Management of coastal saltmarsh</v>
          </cell>
          <cell r="F376" t="str">
            <v>Revenue - Coastal</v>
          </cell>
        </row>
        <row r="377">
          <cell r="D377" t="str">
            <v>CT3</v>
          </cell>
          <cell r="E377" t="str">
            <v>CT3 - Management of coastal saltmarsh</v>
          </cell>
          <cell r="F377" t="str">
            <v>Revenue - Coastal</v>
          </cell>
        </row>
        <row r="378">
          <cell r="D378" t="str">
            <v>LV5</v>
          </cell>
          <cell r="E378" t="str">
            <v>LV5 - Pasture pumps and associated pipework/unit</v>
          </cell>
          <cell r="F378" t="str">
            <v>Capital - Soil and Water</v>
          </cell>
        </row>
        <row r="379">
          <cell r="D379" t="str">
            <v>CT3</v>
          </cell>
          <cell r="E379" t="str">
            <v>CT3 - Management of coastal saltmarsh</v>
          </cell>
          <cell r="F379" t="str">
            <v>Revenue - Coastal</v>
          </cell>
        </row>
        <row r="380">
          <cell r="D380" t="str">
            <v>CT3</v>
          </cell>
          <cell r="E380" t="str">
            <v>CT3 - Management of coastal saltmarsh</v>
          </cell>
          <cell r="F380" t="str">
            <v>Revenue - Coastal</v>
          </cell>
        </row>
        <row r="381">
          <cell r="D381" t="str">
            <v>RP1</v>
          </cell>
          <cell r="E381" t="str">
            <v>RP1 - Resurfacing of gateways</v>
          </cell>
          <cell r="F381" t="str">
            <v>Capital - Soil and Water</v>
          </cell>
        </row>
        <row r="382">
          <cell r="D382" t="str">
            <v>RP1</v>
          </cell>
          <cell r="E382" t="str">
            <v>RP1 - Resurfacing of gateways</v>
          </cell>
          <cell r="F382" t="str">
            <v>Capital - Soil and Water</v>
          </cell>
        </row>
        <row r="383">
          <cell r="D383" t="str">
            <v>LV5</v>
          </cell>
          <cell r="E383" t="str">
            <v>LV5 - Pasture pumps and associated pipework/unit</v>
          </cell>
          <cell r="F383" t="str">
            <v>Capital - Soil and Water</v>
          </cell>
        </row>
        <row r="384">
          <cell r="D384" t="str">
            <v>BN3</v>
          </cell>
          <cell r="E384" t="str">
            <v>BN3 - Earth bank creation</v>
          </cell>
          <cell r="F384" t="str">
            <v>Capital - Boundaries, Trees and Orchards</v>
          </cell>
        </row>
        <row r="385">
          <cell r="D385" t="str">
            <v>HS9</v>
          </cell>
          <cell r="E385" t="str">
            <v>HS9 - Restricted depth crop establishment to protect archaeology under and arable rotation</v>
          </cell>
          <cell r="F385" t="str">
            <v>Revenue - Historic Environment and Landscape</v>
          </cell>
        </row>
        <row r="386">
          <cell r="D386" t="str">
            <v>HRW1</v>
          </cell>
          <cell r="E386" t="str">
            <v>HRW1 - Assess and record hedgerow condition</v>
          </cell>
          <cell r="F386" t="str">
            <v>Revenue - ELMS</v>
          </cell>
        </row>
        <row r="387">
          <cell r="D387" t="str">
            <v>HS9</v>
          </cell>
          <cell r="E387" t="str">
            <v>HS9 - Restricted depth crop establishment to protect archaeology under and arable rotation</v>
          </cell>
          <cell r="F387" t="str">
            <v>Revenue - Historic Environment and Landscape</v>
          </cell>
        </row>
        <row r="388">
          <cell r="D388" t="str">
            <v>HS9</v>
          </cell>
          <cell r="E388" t="str">
            <v>HS9 - Restricted depth crop establishment to protect archaeology under and arable rotation</v>
          </cell>
          <cell r="F388" t="str">
            <v>Revenue - Historic Environment and Landscape</v>
          </cell>
        </row>
        <row r="389">
          <cell r="D389" t="str">
            <v>HS9</v>
          </cell>
          <cell r="E389" t="str">
            <v>HS9 - Restricted depth crop establishment to protect archaeology under and arable rotation</v>
          </cell>
          <cell r="F389" t="str">
            <v>Revenue - Historic Environment and Landscape</v>
          </cell>
        </row>
        <row r="390">
          <cell r="D390" t="str">
            <v>BN3</v>
          </cell>
          <cell r="E390" t="str">
            <v>BN3 - Earth bank creation</v>
          </cell>
          <cell r="F390" t="str">
            <v>Capital - Boundaries, Trees and Orchards</v>
          </cell>
        </row>
        <row r="391">
          <cell r="D391" t="str">
            <v>SS3B</v>
          </cell>
          <cell r="E391" t="str">
            <v>SS3B - Additional Payment</v>
          </cell>
          <cell r="F391" t="str">
            <v>Revenue - ELMS</v>
          </cell>
        </row>
        <row r="392">
          <cell r="D392" t="str">
            <v>AHW10</v>
          </cell>
          <cell r="E392" t="str">
            <v>AHW10 - Low input harvested cereal crop</v>
          </cell>
          <cell r="F392" t="str">
            <v>Revenue - Arable</v>
          </cell>
        </row>
        <row r="393">
          <cell r="D393" t="str">
            <v>WS3</v>
          </cell>
          <cell r="E393" t="str">
            <v>WS3 - Squirrel control and management</v>
          </cell>
          <cell r="F393" t="str">
            <v>Revenue - Woodland and Scrub</v>
          </cell>
        </row>
        <row r="394">
          <cell r="D394" t="str">
            <v>OFM6</v>
          </cell>
          <cell r="E394" t="str">
            <v>OFM6 - Organic land management - top fruit</v>
          </cell>
          <cell r="F394" t="str">
            <v>Revenue - Organic</v>
          </cell>
        </row>
        <row r="395">
          <cell r="D395" t="str">
            <v>CT2</v>
          </cell>
          <cell r="E395" t="str">
            <v>CT2 - Creation of coastal sand dunes and vegetated shingle on arable land improved grassland</v>
          </cell>
          <cell r="F395" t="str">
            <v>Revenue - Coastal</v>
          </cell>
        </row>
        <row r="396">
          <cell r="D396" t="str">
            <v>CT2</v>
          </cell>
          <cell r="E396" t="str">
            <v>CT2 - Creation of coastal sand dunes and vegetated shingle on arable land improved grassland</v>
          </cell>
          <cell r="F396" t="str">
            <v>Revenue - Coastal</v>
          </cell>
        </row>
        <row r="397">
          <cell r="D397" t="str">
            <v>WS3</v>
          </cell>
          <cell r="E397" t="str">
            <v>WS3 - Squirrel control and management</v>
          </cell>
          <cell r="F397" t="str">
            <v>Revenue - Woodland and Scrub</v>
          </cell>
        </row>
        <row r="398">
          <cell r="D398" t="str">
            <v>CT2</v>
          </cell>
          <cell r="E398" t="str">
            <v>CT2 - Creation of coastal sand dunes and vegetated shingle on arable land improved grassland</v>
          </cell>
          <cell r="F398" t="str">
            <v>Revenue - Coastal</v>
          </cell>
        </row>
        <row r="399">
          <cell r="D399" t="str">
            <v>CT2</v>
          </cell>
          <cell r="E399" t="str">
            <v>CT2 - Creation of coastal sand dunes and vegetated shingle on arable land improved grassland</v>
          </cell>
          <cell r="F399" t="str">
            <v>Revenue - Coastal</v>
          </cell>
        </row>
        <row r="400">
          <cell r="D400" t="str">
            <v>MR1G</v>
          </cell>
          <cell r="E400" t="str">
            <v>MR1G - Moorland and rough grazing</v>
          </cell>
          <cell r="F400" t="str">
            <v>Revenue - ELMS</v>
          </cell>
        </row>
        <row r="401">
          <cell r="D401" t="str">
            <v>WN5A</v>
          </cell>
          <cell r="E401" t="str">
            <v>WN5A - Pond Management - creation (first 100 sq m)</v>
          </cell>
          <cell r="F401" t="str">
            <v>Capital - Wetlands</v>
          </cell>
        </row>
        <row r="402">
          <cell r="D402" t="str">
            <v>CT6</v>
          </cell>
          <cell r="E402" t="str">
            <v>CT6 - Coastal vegetation management supplement</v>
          </cell>
          <cell r="F402" t="str">
            <v>Revenue - Coastal</v>
          </cell>
        </row>
        <row r="403">
          <cell r="D403" t="str">
            <v>CT6</v>
          </cell>
          <cell r="E403" t="str">
            <v>CT6 - Coastal vegetation management supplement</v>
          </cell>
          <cell r="F403" t="str">
            <v>Revenue - Coastal</v>
          </cell>
        </row>
        <row r="404">
          <cell r="D404" t="str">
            <v>WN5A</v>
          </cell>
          <cell r="E404" t="str">
            <v>WN5A - Pond Management - creation (first 100 sq m)</v>
          </cell>
          <cell r="F404" t="str">
            <v>Capital - Wetlands</v>
          </cell>
        </row>
        <row r="405">
          <cell r="D405" t="str">
            <v>CWT10</v>
          </cell>
          <cell r="E405" t="str">
            <v>CWT10 - Manage lowland raised bog</v>
          </cell>
          <cell r="F405" t="str">
            <v>Revenue - Lowland Peat</v>
          </cell>
        </row>
        <row r="406">
          <cell r="D406" t="str">
            <v>SP6</v>
          </cell>
          <cell r="E406" t="str">
            <v>SP6 - Cattle grazing supplement</v>
          </cell>
          <cell r="F406" t="str">
            <v>Revenue - Uplands</v>
          </cell>
        </row>
        <row r="407">
          <cell r="D407" t="str">
            <v>SP4</v>
          </cell>
          <cell r="E407" t="str">
            <v>SP4 - Control of invasive plant species supplement</v>
          </cell>
          <cell r="F407" t="str">
            <v>Revenue - Soil and Water</v>
          </cell>
        </row>
        <row r="408">
          <cell r="D408" t="str">
            <v>SP4</v>
          </cell>
          <cell r="E408" t="str">
            <v>SP4 - Control of invasive plant species supplement</v>
          </cell>
          <cell r="F408" t="str">
            <v>Revenue - Soil and Water</v>
          </cell>
        </row>
        <row r="409">
          <cell r="D409" t="str">
            <v>GS8</v>
          </cell>
          <cell r="E409" t="str">
            <v>GS8 - Creation of species-rich grassland</v>
          </cell>
          <cell r="F409" t="str">
            <v>Revenue - Grassland</v>
          </cell>
        </row>
        <row r="410">
          <cell r="D410" t="str">
            <v>SP4</v>
          </cell>
          <cell r="E410" t="str">
            <v>SP4 - Control of invasive plant species supplement</v>
          </cell>
          <cell r="F410" t="str">
            <v>Revenue - Soil and Water</v>
          </cell>
        </row>
        <row r="411">
          <cell r="D411" t="str">
            <v>SP6</v>
          </cell>
          <cell r="E411" t="str">
            <v>SP6 - Cattle grazing supplement</v>
          </cell>
          <cell r="F411" t="str">
            <v>Revenue - Uplands</v>
          </cell>
        </row>
        <row r="412">
          <cell r="D412" t="str">
            <v>GS8</v>
          </cell>
          <cell r="E412" t="str">
            <v>GS8 - Creation of species-rich grassland</v>
          </cell>
          <cell r="F412" t="str">
            <v>Revenue - Grassland</v>
          </cell>
        </row>
        <row r="413">
          <cell r="D413" t="str">
            <v>GS8</v>
          </cell>
          <cell r="E413" t="str">
            <v>GS8 - Creation of species-rich grassland</v>
          </cell>
          <cell r="F413" t="str">
            <v>Revenue - Grassland</v>
          </cell>
        </row>
        <row r="414">
          <cell r="D414" t="str">
            <v>SP6</v>
          </cell>
          <cell r="E414" t="str">
            <v>SP6 - Cattle grazing supplement</v>
          </cell>
          <cell r="F414" t="str">
            <v>Revenue - Uplands</v>
          </cell>
        </row>
        <row r="415">
          <cell r="D415" t="str">
            <v>GS8</v>
          </cell>
          <cell r="E415" t="str">
            <v>GS8 - Creation of species-rich grassland</v>
          </cell>
          <cell r="F415" t="str">
            <v>Revenue - Grassland</v>
          </cell>
        </row>
        <row r="416">
          <cell r="D416" t="str">
            <v>WN8</v>
          </cell>
          <cell r="E416" t="str">
            <v>WN8 - Timber sluice/unit</v>
          </cell>
          <cell r="F416" t="str">
            <v>Capital - Wetlands</v>
          </cell>
        </row>
        <row r="417">
          <cell r="D417" t="str">
            <v>WN8</v>
          </cell>
          <cell r="E417" t="str">
            <v>WN8 - Timber sluice/unit</v>
          </cell>
          <cell r="F417" t="str">
            <v>Capital - Wetlands</v>
          </cell>
        </row>
        <row r="418">
          <cell r="D418" t="str">
            <v>SP4</v>
          </cell>
          <cell r="E418" t="str">
            <v>SP4 - Control of invasive plant species supplement</v>
          </cell>
          <cell r="F418" t="str">
            <v>Revenue - Soil and Water</v>
          </cell>
        </row>
        <row r="419">
          <cell r="D419" t="str">
            <v>SW12</v>
          </cell>
          <cell r="E419" t="str">
            <v>SW12 - Making space for water</v>
          </cell>
          <cell r="F419" t="str">
            <v>Revenue - Soil and Water</v>
          </cell>
        </row>
        <row r="420">
          <cell r="D420" t="str">
            <v>AB11</v>
          </cell>
          <cell r="E420" t="str">
            <v>AB11 - Cultivated areas for arable plants</v>
          </cell>
          <cell r="F420" t="str">
            <v>Revenue - Arable</v>
          </cell>
        </row>
        <row r="421">
          <cell r="D421" t="str">
            <v>AB11</v>
          </cell>
          <cell r="E421" t="str">
            <v>AB11 - Cultivated areas for arable plants</v>
          </cell>
          <cell r="F421" t="str">
            <v>Revenue - Arable</v>
          </cell>
        </row>
        <row r="422">
          <cell r="D422" t="str">
            <v>AB11</v>
          </cell>
          <cell r="E422" t="str">
            <v>AB11 - Cultivated areas for arable plants</v>
          </cell>
          <cell r="F422" t="str">
            <v>Revenue - Arable</v>
          </cell>
        </row>
        <row r="423">
          <cell r="D423" t="str">
            <v>AB11</v>
          </cell>
          <cell r="E423" t="str">
            <v>AB11 - Cultivated areas for arable plants</v>
          </cell>
          <cell r="F423" t="str">
            <v>Revenue - Arable</v>
          </cell>
        </row>
        <row r="424">
          <cell r="D424" t="str">
            <v>SW12</v>
          </cell>
          <cell r="E424" t="str">
            <v>SW12 - Making space for water</v>
          </cell>
          <cell r="F424" t="str">
            <v>Revenue - Soil and Water</v>
          </cell>
        </row>
        <row r="425">
          <cell r="D425" t="str">
            <v>AB11</v>
          </cell>
          <cell r="E425" t="str">
            <v>AB11 - Cultivated areas for arable plants</v>
          </cell>
          <cell r="F425" t="str">
            <v>Revenue - Arable</v>
          </cell>
        </row>
        <row r="426">
          <cell r="D426" t="str">
            <v>SW12</v>
          </cell>
          <cell r="E426" t="str">
            <v>SW12 - Making space for water</v>
          </cell>
          <cell r="F426" t="str">
            <v>Revenue - Soil and Water</v>
          </cell>
        </row>
        <row r="427">
          <cell r="D427" t="str">
            <v>AHW2</v>
          </cell>
          <cell r="E427" t="str">
            <v>AHW2 - Supplementary winter bird food</v>
          </cell>
          <cell r="F427" t="str">
            <v>Revenue - Arable</v>
          </cell>
        </row>
        <row r="428">
          <cell r="D428" t="str">
            <v>OR5</v>
          </cell>
          <cell r="E428" t="str">
            <v>OR5 - Organic Conversion - Top Fruit</v>
          </cell>
          <cell r="F428" t="str">
            <v>Revenue - Organic conversion</v>
          </cell>
        </row>
        <row r="429">
          <cell r="D429" t="str">
            <v>WB1B</v>
          </cell>
          <cell r="E429" t="str">
            <v>WB1B - Waterbody buffering</v>
          </cell>
          <cell r="F429" t="str">
            <v>Revenue - ELMS</v>
          </cell>
        </row>
        <row r="430">
          <cell r="D430" t="str">
            <v>WB1B</v>
          </cell>
          <cell r="E430" t="str">
            <v>WB1B - Waterbody buffering</v>
          </cell>
          <cell r="F430" t="str">
            <v>Revenue - ELMS</v>
          </cell>
        </row>
        <row r="431">
          <cell r="D431" t="str">
            <v>OR5</v>
          </cell>
          <cell r="E431" t="str">
            <v>OR5 - Organic Conversion - Top Fruit</v>
          </cell>
          <cell r="F431" t="str">
            <v>Revenue - Organic conversion</v>
          </cell>
        </row>
        <row r="432">
          <cell r="D432" t="str">
            <v>WB1B</v>
          </cell>
          <cell r="E432" t="str">
            <v>WB1B - Waterbody buffering</v>
          </cell>
          <cell r="F432" t="str">
            <v>Revenue - ELMS</v>
          </cell>
        </row>
        <row r="433">
          <cell r="D433" t="str">
            <v>OR5</v>
          </cell>
          <cell r="E433" t="str">
            <v>OR5 - Organic Conversion - Top Fruit</v>
          </cell>
          <cell r="F433" t="str">
            <v>Revenue - Organic conversion</v>
          </cell>
        </row>
        <row r="434">
          <cell r="D434" t="str">
            <v>CSP11</v>
          </cell>
          <cell r="E434" t="str">
            <v>CSP11 - Supplement: Manage scrapes and gutters</v>
          </cell>
          <cell r="F434" t="str">
            <v>Revenue - Grassland</v>
          </cell>
        </row>
        <row r="435">
          <cell r="D435" t="str">
            <v>CSP1</v>
          </cell>
          <cell r="E435" t="str">
            <v>CSP1 - Supplement:Difficult sites</v>
          </cell>
          <cell r="F435" t="str">
            <v>Revenue - Grassland</v>
          </cell>
        </row>
        <row r="436">
          <cell r="D436" t="str">
            <v>WD8</v>
          </cell>
          <cell r="E436" t="str">
            <v>WD8 - Creation of successional areas and scrub</v>
          </cell>
          <cell r="F436" t="str">
            <v>Revenue - Woodland and Scrub</v>
          </cell>
        </row>
        <row r="437">
          <cell r="D437" t="str">
            <v>SW1</v>
          </cell>
          <cell r="E437" t="str">
            <v>SW1 - 4-6m buffer strip on cultivated land</v>
          </cell>
          <cell r="F437" t="str">
            <v>Revenue - Soil and Water</v>
          </cell>
        </row>
        <row r="438">
          <cell r="D438" t="str">
            <v>WD8</v>
          </cell>
          <cell r="E438" t="str">
            <v>WD8 - Creation of successional areas and scrub</v>
          </cell>
          <cell r="F438" t="str">
            <v>Revenue - Woodland and Scrub</v>
          </cell>
        </row>
        <row r="439">
          <cell r="D439" t="str">
            <v>WD8</v>
          </cell>
          <cell r="E439" t="str">
            <v>WD8 - Creation of successional areas and scrub</v>
          </cell>
          <cell r="F439" t="str">
            <v>Revenue - Woodland and Scrub</v>
          </cell>
        </row>
        <row r="440">
          <cell r="D440" t="str">
            <v>SW17</v>
          </cell>
          <cell r="E440" t="str">
            <v>SW17 - Raised water levels on cropped or arable on peat soils</v>
          </cell>
          <cell r="F440" t="str">
            <v>Revenue - Soil and Water</v>
          </cell>
        </row>
        <row r="441">
          <cell r="D441" t="str">
            <v>SW1</v>
          </cell>
          <cell r="E441" t="str">
            <v>SW1 - 4-6m buffer strip on cultivated land</v>
          </cell>
          <cell r="F441" t="str">
            <v>Revenue - Soil and Water</v>
          </cell>
        </row>
        <row r="442">
          <cell r="D442" t="str">
            <v>SW17</v>
          </cell>
          <cell r="E442" t="str">
            <v>SW17 - Raised water levels on cropped or arable on peat soils</v>
          </cell>
          <cell r="F442" t="str">
            <v>Revenue - Soil and Water</v>
          </cell>
        </row>
        <row r="443">
          <cell r="D443" t="str">
            <v>SW1</v>
          </cell>
          <cell r="E443" t="str">
            <v>SW1 - 4-6m buffer strip on cultivated land</v>
          </cell>
          <cell r="F443" t="str">
            <v>Revenue - Soil and Water</v>
          </cell>
        </row>
        <row r="444">
          <cell r="D444" t="str">
            <v>SW1</v>
          </cell>
          <cell r="E444" t="str">
            <v>SW1 - 4-6m buffer strip on cultivated land</v>
          </cell>
          <cell r="F444" t="str">
            <v>Revenue - Soil and Water</v>
          </cell>
        </row>
        <row r="445">
          <cell r="D445" t="str">
            <v>WD8</v>
          </cell>
          <cell r="E445" t="str">
            <v>WD8 - Creation of successional areas and scrub</v>
          </cell>
          <cell r="F445" t="str">
            <v>Revenue - Woodland and Scrub</v>
          </cell>
        </row>
        <row r="446">
          <cell r="D446" t="str">
            <v>SW1</v>
          </cell>
          <cell r="E446" t="str">
            <v>SW1 - 4-6m buffer strip on cultivated land</v>
          </cell>
          <cell r="F446" t="str">
            <v>Revenue - Soil and Water</v>
          </cell>
        </row>
        <row r="447">
          <cell r="D447" t="str">
            <v>BFS1</v>
          </cell>
          <cell r="E447" t="str">
            <v>BFS1 - 12m to 24m watercourse buffer strip on cultivated land</v>
          </cell>
          <cell r="F447" t="str">
            <v>Revenue - Improving soil health</v>
          </cell>
        </row>
        <row r="448">
          <cell r="D448" t="str">
            <v>BFS3</v>
          </cell>
          <cell r="E448" t="str">
            <v>BFS3 - Buffer in-field ponds on improved grassland</v>
          </cell>
          <cell r="F448" t="str">
            <v>Revenue - Waterbodies</v>
          </cell>
        </row>
        <row r="449">
          <cell r="D449" t="str">
            <v>AB4</v>
          </cell>
          <cell r="E449" t="str">
            <v>AB4 - Skylark Plots</v>
          </cell>
          <cell r="F449" t="str">
            <v>Revenue - Arable</v>
          </cell>
        </row>
        <row r="450">
          <cell r="D450" t="str">
            <v>CSAM1A</v>
          </cell>
          <cell r="E450" t="str">
            <v>CSAM1A - Assess soil, test soil organic matter and produce a soil management plan</v>
          </cell>
          <cell r="F450" t="str">
            <v>Revenue - Improving soil health</v>
          </cell>
        </row>
        <row r="451">
          <cell r="D451" t="str">
            <v>AB4</v>
          </cell>
          <cell r="E451" t="str">
            <v>AB4 - Skylark Plots</v>
          </cell>
          <cell r="F451" t="str">
            <v>Revenue - Arable</v>
          </cell>
        </row>
        <row r="452">
          <cell r="D452" t="str">
            <v>AB4</v>
          </cell>
          <cell r="E452" t="str">
            <v>AB4 - Skylark Plots</v>
          </cell>
          <cell r="F452" t="str">
            <v>Revenue - Arable</v>
          </cell>
        </row>
        <row r="453">
          <cell r="D453" t="str">
            <v>AB4</v>
          </cell>
          <cell r="E453" t="str">
            <v>AB4 - Skylark Plots</v>
          </cell>
          <cell r="F453" t="str">
            <v>Revenue - Arable</v>
          </cell>
        </row>
        <row r="454">
          <cell r="D454" t="str">
            <v>AB4</v>
          </cell>
          <cell r="E454" t="str">
            <v>AB4 - Skylark Plots</v>
          </cell>
          <cell r="F454" t="str">
            <v>Revenue - Arable</v>
          </cell>
        </row>
        <row r="455">
          <cell r="D455" t="str">
            <v>SW10</v>
          </cell>
          <cell r="E455" t="str">
            <v>SW10 - Seasonal livestock removal on intensive grassland</v>
          </cell>
          <cell r="F455" t="str">
            <v>Revenue - Soil and Water</v>
          </cell>
        </row>
        <row r="456">
          <cell r="D456" t="str">
            <v>SW10</v>
          </cell>
          <cell r="E456" t="str">
            <v>SW10 - Seasonal livestock removal on intensive grassland</v>
          </cell>
          <cell r="F456" t="str">
            <v>Revenue - Soil and Water</v>
          </cell>
        </row>
        <row r="457">
          <cell r="D457" t="str">
            <v>SW10</v>
          </cell>
          <cell r="E457" t="str">
            <v>SW10 - Seasonal livestock removal on intensive grassland</v>
          </cell>
          <cell r="F457" t="str">
            <v>Revenue - Soil and Water</v>
          </cell>
        </row>
        <row r="458">
          <cell r="D458" t="str">
            <v>AHW7</v>
          </cell>
          <cell r="E458" t="str">
            <v>AHW7 - Enhanced overwinter stubble</v>
          </cell>
          <cell r="F458" t="str">
            <v>Revenue - Arable</v>
          </cell>
        </row>
        <row r="459">
          <cell r="D459" t="str">
            <v>CIPM1</v>
          </cell>
          <cell r="E459" t="str">
            <v>CIPM1 - Assess integrated pest management and produce a plan</v>
          </cell>
          <cell r="F459" t="str">
            <v>Revenue - Integrated pest management</v>
          </cell>
        </row>
        <row r="460">
          <cell r="D460" t="str">
            <v>SW4</v>
          </cell>
          <cell r="E460" t="str">
            <v>SW4 - 12-24m watercourse buffer strip on cultivated land</v>
          </cell>
          <cell r="F460" t="str">
            <v>Revenue - Soil and Water</v>
          </cell>
        </row>
        <row r="461">
          <cell r="D461" t="str">
            <v>SW4</v>
          </cell>
          <cell r="E461" t="str">
            <v>SW4 - 12-24m watercourse buffer strip on cultivated land</v>
          </cell>
          <cell r="F461" t="str">
            <v>Revenue - Soil and Water</v>
          </cell>
        </row>
        <row r="462">
          <cell r="D462" t="str">
            <v>SW4</v>
          </cell>
          <cell r="E462" t="str">
            <v>SW4 - 12-24m watercourse buffer strip on cultivated land</v>
          </cell>
          <cell r="F462" t="str">
            <v>Revenue - Soil and Water</v>
          </cell>
        </row>
        <row r="463">
          <cell r="D463" t="str">
            <v>BE2</v>
          </cell>
          <cell r="E463" t="str">
            <v>BE2 - Protection of in-field trees on intensive grassland</v>
          </cell>
          <cell r="F463" t="str">
            <v>Revenue - Boundaries, Trees and Orchards</v>
          </cell>
        </row>
        <row r="464">
          <cell r="D464" t="str">
            <v>AHW12</v>
          </cell>
          <cell r="E464" t="str">
            <v>AHW12 - Manage woodland edges on arable land</v>
          </cell>
          <cell r="F464" t="str">
            <v>Revenue - Arable</v>
          </cell>
        </row>
        <row r="465">
          <cell r="D465" t="str">
            <v>SW4</v>
          </cell>
          <cell r="E465" t="str">
            <v>SW4 - 12-24m watercourse buffer strip on cultivated land</v>
          </cell>
          <cell r="F465" t="str">
            <v>Revenue - Soil and Water</v>
          </cell>
        </row>
        <row r="466">
          <cell r="D466" t="str">
            <v>SW4</v>
          </cell>
          <cell r="E466" t="str">
            <v>SW4 - 12-24m watercourse buffer strip on cultivated land</v>
          </cell>
          <cell r="F466" t="str">
            <v>Revenue - Soil and Water</v>
          </cell>
        </row>
        <row r="467">
          <cell r="D467" t="str">
            <v>CPAC1</v>
          </cell>
          <cell r="E467" t="str">
            <v>CPAC1 - Open access</v>
          </cell>
          <cell r="F467" t="str">
            <v>Revenue - Access</v>
          </cell>
        </row>
        <row r="468">
          <cell r="D468" t="str">
            <v>BE2</v>
          </cell>
          <cell r="E468" t="str">
            <v>BE2 - Protection of in-field trees on intensive grassland</v>
          </cell>
          <cell r="F468" t="str">
            <v>Revenue - Boundaries, Trees and Orchards</v>
          </cell>
        </row>
        <row r="469">
          <cell r="D469" t="str">
            <v>BE2</v>
          </cell>
          <cell r="E469" t="str">
            <v>BE2 - Protection of in-field trees on intensive grassland</v>
          </cell>
          <cell r="F469" t="str">
            <v>Revenue - Boundaries, Trees and Orchards</v>
          </cell>
        </row>
        <row r="470">
          <cell r="D470" t="str">
            <v>WB2</v>
          </cell>
          <cell r="E470" t="str">
            <v>WB2 - Medium Wildlife Box</v>
          </cell>
          <cell r="F470" t="str">
            <v>Capital - Species</v>
          </cell>
        </row>
        <row r="471">
          <cell r="D471" t="str">
            <v>WB2</v>
          </cell>
          <cell r="E471" t="str">
            <v>WB2 - Medium Wildlife Box</v>
          </cell>
          <cell r="F471" t="str">
            <v>Capital - Species</v>
          </cell>
        </row>
        <row r="472">
          <cell r="D472" t="str">
            <v>RP33</v>
          </cell>
          <cell r="E472" t="str">
            <v>RP33 - Large Leaky Woody Dam</v>
          </cell>
          <cell r="F472" t="str">
            <v>Capital - Soil and Water</v>
          </cell>
        </row>
        <row r="473">
          <cell r="D473" t="str">
            <v>OR1</v>
          </cell>
          <cell r="E473" t="str">
            <v>OR1 - Organic conversion - improved permanent grassland</v>
          </cell>
          <cell r="F473" t="str">
            <v>Revenue - Organic conversion</v>
          </cell>
        </row>
        <row r="474">
          <cell r="D474" t="str">
            <v>SB3</v>
          </cell>
          <cell r="E474" t="str">
            <v>SB3 - Tree removal</v>
          </cell>
          <cell r="F474" t="str">
            <v>Capital - Lowland Heathland</v>
          </cell>
        </row>
        <row r="475">
          <cell r="D475" t="str">
            <v>OR1</v>
          </cell>
          <cell r="E475" t="str">
            <v>OR1 - Organic conversion - improved permanent grassland</v>
          </cell>
          <cell r="F475" t="str">
            <v>Revenue - Organic conversion</v>
          </cell>
        </row>
        <row r="476">
          <cell r="D476" t="str">
            <v>SB3</v>
          </cell>
          <cell r="E476" t="str">
            <v>SB3 - Tree removal</v>
          </cell>
          <cell r="F476" t="str">
            <v>Capital - Lowland Heathland</v>
          </cell>
        </row>
        <row r="477">
          <cell r="D477" t="str">
            <v>OR1</v>
          </cell>
          <cell r="E477" t="str">
            <v>OR1 - Organic conversion - improved permanent grassland</v>
          </cell>
          <cell r="F477" t="str">
            <v>Revenue - Organic conversion</v>
          </cell>
        </row>
        <row r="478">
          <cell r="D478" t="str">
            <v>BN6</v>
          </cell>
          <cell r="E478" t="str">
            <v>BN6 - Hedgerow Coppicing</v>
          </cell>
          <cell r="F478" t="str">
            <v>Capital - Boundaries, Trees and Orchards</v>
          </cell>
        </row>
        <row r="479">
          <cell r="D479" t="str">
            <v>BN6</v>
          </cell>
          <cell r="E479" t="str">
            <v>BN6 - Hedgerow Coppicing</v>
          </cell>
          <cell r="F479" t="str">
            <v>Capital - Boundaries, Trees and Orchards</v>
          </cell>
        </row>
        <row r="480">
          <cell r="D480" t="str">
            <v>CUP13</v>
          </cell>
          <cell r="E480" t="str">
            <v>CUP13 - Shepherding livestock on moorland (remove stock for a minumum of 6 months)</v>
          </cell>
          <cell r="F480" t="str">
            <v>Revenue - Moorland</v>
          </cell>
        </row>
        <row r="481">
          <cell r="D481" t="str">
            <v>CSP7</v>
          </cell>
          <cell r="E481" t="str">
            <v>CSP7 - Supplement: Introduction of cattle grazing on the Isles of Scilly</v>
          </cell>
          <cell r="F481" t="str">
            <v>Revenue - Grassland</v>
          </cell>
        </row>
        <row r="482">
          <cell r="D482" t="str">
            <v>WD4</v>
          </cell>
          <cell r="E482" t="str">
            <v>WD4 - Management of wood pasture and parkland</v>
          </cell>
          <cell r="F482" t="str">
            <v>Revenue - Woodland and Scrub</v>
          </cell>
        </row>
        <row r="483">
          <cell r="D483" t="str">
            <v>PRF1</v>
          </cell>
          <cell r="E483" t="str">
            <v>PRF1 - Variable rate application of nutrients</v>
          </cell>
          <cell r="F483" t="str">
            <v>Revenue - Precision farming</v>
          </cell>
        </row>
        <row r="484">
          <cell r="D484" t="str">
            <v>LV7</v>
          </cell>
          <cell r="E484" t="str">
            <v>LV7 - Livestock troughs</v>
          </cell>
          <cell r="F484" t="str">
            <v>Capital - Soil and Water</v>
          </cell>
        </row>
        <row r="485">
          <cell r="D485" t="str">
            <v>WS4</v>
          </cell>
          <cell r="E485" t="str">
            <v>WS4 - Enable permissive access (by foot) across the whole woodland</v>
          </cell>
          <cell r="F485" t="str">
            <v>Revenue - Woodland and Scrub</v>
          </cell>
        </row>
        <row r="486">
          <cell r="D486" t="str">
            <v>WD4</v>
          </cell>
          <cell r="E486" t="str">
            <v>WD4 - Management of wood pasture and parkland</v>
          </cell>
          <cell r="F486" t="str">
            <v>Revenue - Woodland and Scrub</v>
          </cell>
        </row>
        <row r="487">
          <cell r="D487" t="str">
            <v>WS4</v>
          </cell>
          <cell r="E487" t="str">
            <v>WS4 - Enable permissive access (by foot) across the whole woodland</v>
          </cell>
          <cell r="F487" t="str">
            <v>Revenue - Woodland and Scrub</v>
          </cell>
        </row>
        <row r="488">
          <cell r="D488" t="str">
            <v>WD4</v>
          </cell>
          <cell r="E488" t="str">
            <v>WD4 - Management of wood pasture and parkland</v>
          </cell>
          <cell r="F488" t="str">
            <v>Revenue - Woodland and Scrub</v>
          </cell>
        </row>
        <row r="489">
          <cell r="D489" t="str">
            <v>FG7</v>
          </cell>
          <cell r="E489" t="str">
            <v>FG7 - Anti-predator combination fencing for vulnerable ground-nesting birds.</v>
          </cell>
          <cell r="F489" t="str">
            <v>Capital - Species</v>
          </cell>
        </row>
        <row r="490">
          <cell r="D490" t="str">
            <v>FG7</v>
          </cell>
          <cell r="E490" t="str">
            <v>FG7 - Anti-predator combination fencing for vulnerable ground-nesting birds.</v>
          </cell>
          <cell r="F490" t="str">
            <v>Capital - Species</v>
          </cell>
        </row>
        <row r="491">
          <cell r="D491" t="str">
            <v>GS3B</v>
          </cell>
          <cell r="E491" t="str">
            <v>GS3B - Additional Payment</v>
          </cell>
          <cell r="F491" t="str">
            <v>Revenue - ELMS</v>
          </cell>
        </row>
        <row r="492">
          <cell r="D492" t="str">
            <v>LV7</v>
          </cell>
          <cell r="E492" t="str">
            <v>LV7 - Livestock troughs</v>
          </cell>
          <cell r="F492" t="str">
            <v>Capital - Soil and Water</v>
          </cell>
        </row>
        <row r="493">
          <cell r="D493" t="str">
            <v>CAHL1</v>
          </cell>
          <cell r="E493" t="str">
            <v>CAHL1 - Pollen and nectar flower mix</v>
          </cell>
          <cell r="F493" t="str">
            <v>Revenue - Arable</v>
          </cell>
        </row>
        <row r="494">
          <cell r="D494" t="str">
            <v>RP29</v>
          </cell>
          <cell r="E494" t="str">
            <v>RP29 - Self supporting covers for slurry stores/sq m</v>
          </cell>
          <cell r="F494" t="str">
            <v>Capital - Soil and Water</v>
          </cell>
        </row>
        <row r="495">
          <cell r="D495" t="str">
            <v>RP29</v>
          </cell>
          <cell r="E495" t="str">
            <v>RP29 - Self supporting covers for slurry stores/sq m</v>
          </cell>
          <cell r="F495" t="str">
            <v>Capital - Soil and Water</v>
          </cell>
        </row>
        <row r="496">
          <cell r="D496" t="str">
            <v>RP10</v>
          </cell>
          <cell r="E496" t="str">
            <v>RP10 - Silt filtration dams or seepage barriers</v>
          </cell>
          <cell r="F496" t="str">
            <v>Capital - Soil and Water</v>
          </cell>
        </row>
        <row r="497">
          <cell r="D497" t="str">
            <v>CCT9</v>
          </cell>
          <cell r="E497" t="str">
            <v>CCT9 - Manage and restore coastal vegetated shingle</v>
          </cell>
          <cell r="F497" t="str">
            <v>Revenue - Coastal habitat</v>
          </cell>
        </row>
        <row r="498">
          <cell r="D498" t="str">
            <v>RP26</v>
          </cell>
          <cell r="E498" t="str">
            <v>RP26 - Biofilters</v>
          </cell>
          <cell r="F498" t="str">
            <v>Capital - Soil and Water</v>
          </cell>
        </row>
        <row r="499">
          <cell r="D499" t="str">
            <v>RP26</v>
          </cell>
          <cell r="E499" t="str">
            <v>RP26 - Biofilters</v>
          </cell>
          <cell r="F499" t="str">
            <v>Capital - Soil and Water</v>
          </cell>
        </row>
        <row r="500">
          <cell r="D500" t="str">
            <v>RP10</v>
          </cell>
          <cell r="E500" t="str">
            <v>RP10 - Silt filtration dams or seepage barriers</v>
          </cell>
          <cell r="F500" t="str">
            <v>Capital - Soil and Water</v>
          </cell>
        </row>
        <row r="501">
          <cell r="D501" t="str">
            <v>UP3</v>
          </cell>
          <cell r="E501" t="str">
            <v>UP3 - Management of Moorland</v>
          </cell>
          <cell r="F501" t="str">
            <v>Revenue - Uplands</v>
          </cell>
        </row>
        <row r="502">
          <cell r="D502" t="str">
            <v>UP3</v>
          </cell>
          <cell r="E502" t="str">
            <v>UP3 - Management of Moorland</v>
          </cell>
          <cell r="F502" t="str">
            <v>Revenue - Uplands</v>
          </cell>
        </row>
        <row r="503">
          <cell r="D503" t="str">
            <v>OFM4</v>
          </cell>
          <cell r="E503" t="str">
            <v>OFM4 - Organic land management - rotational land</v>
          </cell>
          <cell r="F503" t="str">
            <v>Revenue - Organic</v>
          </cell>
        </row>
        <row r="504">
          <cell r="D504" t="str">
            <v>UP3</v>
          </cell>
          <cell r="E504" t="str">
            <v>UP3 - Management of Moorland</v>
          </cell>
          <cell r="F504" t="str">
            <v>Revenue - Uplands</v>
          </cell>
        </row>
        <row r="505">
          <cell r="D505" t="str">
            <v>SB6C</v>
          </cell>
          <cell r="E505" t="str">
            <v>SB6C - Rhododendron control</v>
          </cell>
          <cell r="F505" t="str">
            <v>Capital - Forestry</v>
          </cell>
        </row>
        <row r="506">
          <cell r="D506" t="str">
            <v>IG1S</v>
          </cell>
          <cell r="E506" t="str">
            <v>IG1S - Improved Grassland soil</v>
          </cell>
          <cell r="F506" t="str">
            <v>Revenue - ELMS</v>
          </cell>
        </row>
        <row r="507">
          <cell r="D507" t="str">
            <v>SB6C</v>
          </cell>
          <cell r="E507" t="str">
            <v>SB6C - Rhododendron control</v>
          </cell>
          <cell r="F507" t="str">
            <v>Capital - Forestry</v>
          </cell>
        </row>
        <row r="508">
          <cell r="D508" t="str">
            <v>LV1</v>
          </cell>
          <cell r="E508" t="str">
            <v>LV1 - Cattle Grid</v>
          </cell>
          <cell r="F508" t="str">
            <v>Capital - Lowland Heathland</v>
          </cell>
        </row>
        <row r="509">
          <cell r="D509" t="str">
            <v>WB1</v>
          </cell>
          <cell r="E509" t="str">
            <v>WB1 - Small Wildlife Box</v>
          </cell>
          <cell r="F509" t="str">
            <v>Capital - Species</v>
          </cell>
        </row>
        <row r="510">
          <cell r="D510" t="str">
            <v>WB1</v>
          </cell>
          <cell r="E510" t="str">
            <v>WB1 - Small Wildlife Box</v>
          </cell>
          <cell r="F510" t="str">
            <v>Capital - Species</v>
          </cell>
        </row>
        <row r="511">
          <cell r="D511" t="str">
            <v>LV1</v>
          </cell>
          <cell r="E511" t="str">
            <v>LV1 - Cattle Grid</v>
          </cell>
          <cell r="F511" t="str">
            <v>Capital - Lowland Heathland</v>
          </cell>
        </row>
        <row r="512">
          <cell r="D512" t="str">
            <v>CAHL4</v>
          </cell>
          <cell r="E512" t="str">
            <v>CAHL4 - 4m to 12m grass buffer strip on arable and horticultural land</v>
          </cell>
          <cell r="F512" t="str">
            <v>Revenue - Arable</v>
          </cell>
        </row>
        <row r="513">
          <cell r="D513" t="str">
            <v>SS2B</v>
          </cell>
          <cell r="E513" t="str">
            <v>SS2B - Additional Payment</v>
          </cell>
          <cell r="F513" t="str">
            <v>Revenue - ELMS</v>
          </cell>
        </row>
        <row r="514">
          <cell r="D514" t="str">
            <v>AB1</v>
          </cell>
          <cell r="E514" t="str">
            <v>AB1 - Nectar Flower Mix</v>
          </cell>
          <cell r="F514" t="str">
            <v>Revenue - Arable</v>
          </cell>
        </row>
        <row r="515">
          <cell r="D515" t="str">
            <v>SI3B</v>
          </cell>
          <cell r="E515" t="str">
            <v>SI3B - Additional Payment</v>
          </cell>
          <cell r="F515" t="str">
            <v>Revenue - ELMS</v>
          </cell>
        </row>
        <row r="516">
          <cell r="D516" t="str">
            <v>AB1</v>
          </cell>
          <cell r="E516" t="str">
            <v>AB1 - Nectar Flower Mix</v>
          </cell>
          <cell r="F516" t="str">
            <v>Revenue - Arable</v>
          </cell>
        </row>
        <row r="517">
          <cell r="D517" t="str">
            <v>CHS7</v>
          </cell>
          <cell r="E517" t="str">
            <v>CHS7 - Manage historic water meadows through traditional irrigation</v>
          </cell>
          <cell r="F517" t="str">
            <v>Revenue - Heritage</v>
          </cell>
        </row>
        <row r="518">
          <cell r="D518" t="str">
            <v>AB1</v>
          </cell>
          <cell r="E518" t="str">
            <v>AB1 - Nectar Flower Mix</v>
          </cell>
          <cell r="F518" t="str">
            <v>Revenue - Arable</v>
          </cell>
        </row>
        <row r="519">
          <cell r="D519" t="str">
            <v>SW7</v>
          </cell>
          <cell r="E519" t="str">
            <v>SW7 - Arable reversion to grassland with low fertiliser inputs</v>
          </cell>
          <cell r="F519" t="str">
            <v>Revenue - Soil and Water</v>
          </cell>
        </row>
        <row r="520">
          <cell r="D520" t="str">
            <v>CSW20</v>
          </cell>
          <cell r="E520" t="str">
            <v>CSW20 - Raise water levels in permanent grassland peat soils</v>
          </cell>
          <cell r="F520" t="str">
            <v>Revenue - Lowland Peat</v>
          </cell>
        </row>
        <row r="521">
          <cell r="D521" t="str">
            <v>SW7</v>
          </cell>
          <cell r="E521" t="str">
            <v>SW7 - Arable reversion to grassland with low fertiliser inputs</v>
          </cell>
          <cell r="F521" t="str">
            <v>Revenue - Soil and Water</v>
          </cell>
        </row>
        <row r="522">
          <cell r="D522" t="str">
            <v>AB1</v>
          </cell>
          <cell r="E522" t="str">
            <v>AB1 - Nectar Flower Mix</v>
          </cell>
          <cell r="F522" t="str">
            <v>Revenue - Arable</v>
          </cell>
        </row>
        <row r="523">
          <cell r="D523" t="str">
            <v>HS3A</v>
          </cell>
          <cell r="E523" t="str">
            <v>HS3A - Hedgerow</v>
          </cell>
          <cell r="F523" t="str">
            <v>Revenue - ELMS</v>
          </cell>
        </row>
        <row r="524">
          <cell r="D524" t="str">
            <v>AB1</v>
          </cell>
          <cell r="E524" t="str">
            <v>AB1 - Nectar Flower Mix</v>
          </cell>
          <cell r="F524" t="str">
            <v>Revenue - Arable</v>
          </cell>
        </row>
        <row r="525">
          <cell r="D525" t="str">
            <v>SW7</v>
          </cell>
          <cell r="E525" t="str">
            <v>SW7 - Arable reversion to grassland with low fertiliser inputs</v>
          </cell>
          <cell r="F525" t="str">
            <v>Revenue - Soil and Water</v>
          </cell>
        </row>
        <row r="526">
          <cell r="D526" t="str">
            <v>HS3A</v>
          </cell>
          <cell r="E526" t="str">
            <v>HS3A - Hedgerow</v>
          </cell>
          <cell r="F526" t="str">
            <v>Revenue - ELMS</v>
          </cell>
        </row>
        <row r="527">
          <cell r="D527" t="str">
            <v>SW7</v>
          </cell>
          <cell r="E527" t="str">
            <v>SW7 - Arable reversion to grassland with low fertiliser inputs</v>
          </cell>
          <cell r="F527" t="str">
            <v>Revenue - Soil and Water</v>
          </cell>
        </row>
        <row r="528">
          <cell r="D528" t="str">
            <v>HS3A</v>
          </cell>
          <cell r="E528" t="str">
            <v>HS3A - Hedgerow</v>
          </cell>
          <cell r="F528" t="str">
            <v>Revenue - ELMS</v>
          </cell>
        </row>
        <row r="529">
          <cell r="D529" t="str">
            <v>BE6</v>
          </cell>
          <cell r="E529" t="str">
            <v>BE6 - Veteran Tree Surgery</v>
          </cell>
          <cell r="F529" t="str">
            <v>Revenue - Woodland and Scrub</v>
          </cell>
        </row>
        <row r="530">
          <cell r="D530" t="str">
            <v>BE6</v>
          </cell>
          <cell r="E530" t="str">
            <v>BE6 - Veteran Tree Surgery</v>
          </cell>
          <cell r="F530" t="str">
            <v>Revenue - Woodland and Scrub</v>
          </cell>
        </row>
        <row r="531">
          <cell r="D531" t="str">
            <v>BE6</v>
          </cell>
          <cell r="E531" t="str">
            <v>BE6 - Veteran Tree Surgery</v>
          </cell>
          <cell r="F531" t="str">
            <v>Revenue - Woodland and Scrub</v>
          </cell>
        </row>
        <row r="532">
          <cell r="D532" t="str">
            <v>BE6</v>
          </cell>
          <cell r="E532" t="str">
            <v>BE6 - Veteran Tree Surgery</v>
          </cell>
          <cell r="F532" t="str">
            <v>Revenue - Woodland and Scrub</v>
          </cell>
        </row>
        <row r="533">
          <cell r="D533" t="str">
            <v>GRH6</v>
          </cell>
          <cell r="E533" t="str">
            <v>GRH6 - Manage priority habitat species-rich grassland</v>
          </cell>
          <cell r="F533" t="str">
            <v>Revenue - Grassland</v>
          </cell>
        </row>
        <row r="534">
          <cell r="D534" t="str">
            <v>AB14</v>
          </cell>
          <cell r="E534" t="str">
            <v>AB14 - Harvested low input cereal</v>
          </cell>
          <cell r="F534" t="str">
            <v>Revenue - Arable</v>
          </cell>
        </row>
        <row r="535">
          <cell r="D535" t="str">
            <v>AB14</v>
          </cell>
          <cell r="E535" t="str">
            <v>AB14 - Harvested low input cereal</v>
          </cell>
          <cell r="F535" t="str">
            <v>Revenue - Arable</v>
          </cell>
        </row>
        <row r="536">
          <cell r="D536" t="str">
            <v>HRW3</v>
          </cell>
          <cell r="E536" t="str">
            <v>HRW3 - Maintain existing hedgerow trees, or establish new hedgerow trees</v>
          </cell>
          <cell r="F536" t="str">
            <v>Revenue - ELMS</v>
          </cell>
        </row>
        <row r="537">
          <cell r="D537" t="str">
            <v>GS2B</v>
          </cell>
          <cell r="E537" t="str">
            <v>GS2B - Additional Payment</v>
          </cell>
          <cell r="F537" t="str">
            <v>Revenue - ELMS</v>
          </cell>
        </row>
        <row r="538">
          <cell r="D538" t="str">
            <v>TE2</v>
          </cell>
          <cell r="E538" t="str">
            <v>TE2 - Planting Standard Parkland Tree</v>
          </cell>
          <cell r="F538" t="str">
            <v>Capital - Boundaries, Trees and Orchards</v>
          </cell>
        </row>
        <row r="539">
          <cell r="D539" t="str">
            <v>BC5</v>
          </cell>
          <cell r="E539" t="str">
            <v>BC5 - Expert dam management</v>
          </cell>
          <cell r="F539" t="str">
            <v>Capital - Beavers</v>
          </cell>
        </row>
        <row r="540">
          <cell r="D540" t="str">
            <v>AB14</v>
          </cell>
          <cell r="E540" t="str">
            <v>AB14 - Harvested low input cereal</v>
          </cell>
          <cell r="F540" t="str">
            <v>Revenue - Arable</v>
          </cell>
        </row>
        <row r="541">
          <cell r="D541" t="str">
            <v>TE2</v>
          </cell>
          <cell r="E541" t="str">
            <v>TE2 - Planting Standard Parkland Tree</v>
          </cell>
          <cell r="F541" t="str">
            <v>Capital - Boundaries, Trees and Orchards</v>
          </cell>
        </row>
        <row r="542">
          <cell r="D542" t="str">
            <v>HEF1</v>
          </cell>
          <cell r="E542" t="str">
            <v>HEF1 - Maintain weatherproof traditional farm or forestry buildings</v>
          </cell>
          <cell r="F542" t="str">
            <v>Revenue - Heritage</v>
          </cell>
        </row>
        <row r="543">
          <cell r="D543" t="str">
            <v>SOH1</v>
          </cell>
          <cell r="E543" t="str">
            <v>SOH1 - No-till farming</v>
          </cell>
          <cell r="F543" t="str">
            <v>Revenue - Improving soil health</v>
          </cell>
        </row>
        <row r="544">
          <cell r="D544" t="str">
            <v>WT11</v>
          </cell>
          <cell r="E544" t="str">
            <v>WT11 - Wetland cutting supplement</v>
          </cell>
          <cell r="F544" t="str">
            <v>Revenue - Wetlands</v>
          </cell>
        </row>
        <row r="545">
          <cell r="D545" t="str">
            <v>OT6</v>
          </cell>
          <cell r="E545" t="str">
            <v>OT6 - Organic Land Management - Enclosed Rough Grazing</v>
          </cell>
          <cell r="F545" t="str">
            <v>Revenue - Organic maintenance</v>
          </cell>
        </row>
        <row r="546">
          <cell r="D546" t="str">
            <v>OT6</v>
          </cell>
          <cell r="E546" t="str">
            <v>OT6 - Organic Land Management - Enclosed Rough Grazing</v>
          </cell>
          <cell r="F546" t="str">
            <v>Revenue - Organic maintenance</v>
          </cell>
        </row>
        <row r="547">
          <cell r="D547" t="str">
            <v>WT11</v>
          </cell>
          <cell r="E547" t="str">
            <v>WT11 - Wetland cutting supplement</v>
          </cell>
          <cell r="F547" t="str">
            <v>Revenue - Wetlands</v>
          </cell>
        </row>
        <row r="548">
          <cell r="D548" t="str">
            <v>OT6</v>
          </cell>
          <cell r="E548" t="str">
            <v>OT6 - Organic Land Management - Enclosed Rough Grazing</v>
          </cell>
          <cell r="F548" t="str">
            <v>Revenue - Organic maintenance</v>
          </cell>
        </row>
        <row r="549">
          <cell r="D549" t="str">
            <v>WT11</v>
          </cell>
          <cell r="E549" t="str">
            <v>WT11 - Wetland cutting supplement</v>
          </cell>
          <cell r="F549" t="str">
            <v>Revenue - Wetlands</v>
          </cell>
        </row>
        <row r="550">
          <cell r="D550" t="str">
            <v>WT11</v>
          </cell>
          <cell r="E550" t="str">
            <v>WT11 - Wetland cutting supplement</v>
          </cell>
          <cell r="F550" t="str">
            <v>Revenue - Wetlands</v>
          </cell>
        </row>
        <row r="551">
          <cell r="D551" t="str">
            <v>OT6</v>
          </cell>
          <cell r="E551" t="str">
            <v>OT6 - Organic Land Management - Enclosed Rough Grazing</v>
          </cell>
          <cell r="F551" t="str">
            <v>Revenue - Organic maintenance</v>
          </cell>
        </row>
        <row r="552">
          <cell r="D552" t="str">
            <v>CLH2</v>
          </cell>
          <cell r="E552" t="str">
            <v>CLH2 - Restore lowland heathland</v>
          </cell>
          <cell r="F552" t="str">
            <v>Revenue - Lowland Heath</v>
          </cell>
        </row>
        <row r="553">
          <cell r="D553" t="str">
            <v>WB2B</v>
          </cell>
          <cell r="E553" t="str">
            <v>WB2B - Waterbody buffering</v>
          </cell>
          <cell r="F553" t="str">
            <v>Revenue - ELMS</v>
          </cell>
        </row>
        <row r="554">
          <cell r="D554" t="str">
            <v>RP24</v>
          </cell>
          <cell r="E554" t="str">
            <v>RP24 - Lined biobed plus pesticide loading and washdown area</v>
          </cell>
          <cell r="F554" t="str">
            <v>Capital - Soil and Water</v>
          </cell>
        </row>
        <row r="555">
          <cell r="D555" t="str">
            <v>WB2B</v>
          </cell>
          <cell r="E555" t="str">
            <v>WB2B - Waterbody buffering</v>
          </cell>
          <cell r="F555" t="str">
            <v>Revenue - ELMS</v>
          </cell>
        </row>
        <row r="556">
          <cell r="D556" t="str">
            <v>WB2B</v>
          </cell>
          <cell r="E556" t="str">
            <v>WB2B - Waterbody buffering</v>
          </cell>
          <cell r="F556" t="str">
            <v>Revenue - ELMS</v>
          </cell>
        </row>
        <row r="557">
          <cell r="D557" t="str">
            <v>RP24</v>
          </cell>
          <cell r="E557" t="str">
            <v>RP24 - Lined biobed plus pesticide loading and washdown area</v>
          </cell>
          <cell r="F557" t="str">
            <v>Capital - Soil and Water</v>
          </cell>
        </row>
        <row r="558">
          <cell r="D558" t="str">
            <v>CWD22</v>
          </cell>
          <cell r="E558" t="str">
            <v>CWD22 - Manage wood pasture and parkland</v>
          </cell>
          <cell r="F558" t="str">
            <v>Revenue - Wood pasture</v>
          </cell>
        </row>
        <row r="559">
          <cell r="D559" t="str">
            <v>AB8</v>
          </cell>
          <cell r="E559" t="str">
            <v>AB8 - Flower rich margins and plots</v>
          </cell>
          <cell r="F559" t="str">
            <v>Revenue - Arable</v>
          </cell>
        </row>
        <row r="560">
          <cell r="D560" t="str">
            <v>AB8</v>
          </cell>
          <cell r="E560" t="str">
            <v>AB8 - Flower rich margins and plots</v>
          </cell>
          <cell r="F560" t="str">
            <v>Revenue - Arable</v>
          </cell>
        </row>
        <row r="561">
          <cell r="D561" t="str">
            <v>AB8</v>
          </cell>
          <cell r="E561" t="str">
            <v>AB8 - Flower rich margins and plots</v>
          </cell>
          <cell r="F561" t="str">
            <v>Revenue - Arable</v>
          </cell>
        </row>
        <row r="562">
          <cell r="D562" t="str">
            <v>AB8</v>
          </cell>
          <cell r="E562" t="str">
            <v>AB8 - Flower rich margins and plots</v>
          </cell>
          <cell r="F562" t="str">
            <v>Revenue - Arable</v>
          </cell>
        </row>
        <row r="563">
          <cell r="D563" t="str">
            <v>CIGL1</v>
          </cell>
          <cell r="E563" t="str">
            <v>CIGL1 - Take improved grassland field corners or blocks out of management</v>
          </cell>
          <cell r="F563" t="str">
            <v>Revenue - Grassland</v>
          </cell>
        </row>
        <row r="564">
          <cell r="D564" t="str">
            <v>CLH1</v>
          </cell>
          <cell r="E564" t="str">
            <v>CLH1 - Manage lowland heathland</v>
          </cell>
          <cell r="F564" t="str">
            <v>Revenue - Lowland Heath</v>
          </cell>
        </row>
        <row r="565">
          <cell r="D565" t="str">
            <v>AB8</v>
          </cell>
          <cell r="E565" t="str">
            <v>AB8 - Flower rich margins and plots</v>
          </cell>
          <cell r="F565" t="str">
            <v>Revenue - Arable</v>
          </cell>
        </row>
        <row r="566">
          <cell r="D566" t="str">
            <v>SW8</v>
          </cell>
          <cell r="E566" t="str">
            <v>SW8 - Management of intensive grassland adjacent to a watercourse</v>
          </cell>
          <cell r="F566" t="str">
            <v>Revenue - Soil and Water</v>
          </cell>
        </row>
        <row r="567">
          <cell r="D567" t="str">
            <v>CUP18</v>
          </cell>
          <cell r="E567" t="str">
            <v>CUP18 - Supplement: Manage features for wildfire management (fire and fuel break)</v>
          </cell>
          <cell r="F567" t="str">
            <v>Revenue - Moorland</v>
          </cell>
        </row>
        <row r="568">
          <cell r="D568" t="str">
            <v>SW8</v>
          </cell>
          <cell r="E568" t="str">
            <v>SW8 - Management of intensive grassland adjacent to a watercourse</v>
          </cell>
          <cell r="F568" t="str">
            <v>Revenue - Soil and Water</v>
          </cell>
        </row>
        <row r="569">
          <cell r="D569" t="str">
            <v>SW8</v>
          </cell>
          <cell r="E569" t="str">
            <v>SW8 - Management of intensive grassland adjacent to a watercourse</v>
          </cell>
          <cell r="F569" t="str">
            <v>Revenue - Soil and Water</v>
          </cell>
        </row>
        <row r="570">
          <cell r="D570" t="str">
            <v>AHW3</v>
          </cell>
          <cell r="E570" t="str">
            <v>AHW3 - Beetle banks</v>
          </cell>
          <cell r="F570" t="str">
            <v>Revenue - Arable</v>
          </cell>
        </row>
        <row r="571">
          <cell r="D571" t="str">
            <v>CUP8</v>
          </cell>
          <cell r="E571" t="str">
            <v>CUP8 - Moderate livestock grazing on moorland</v>
          </cell>
          <cell r="F571" t="str">
            <v>Revenue - Moorland</v>
          </cell>
        </row>
        <row r="572">
          <cell r="D572" t="str">
            <v>WN5B</v>
          </cell>
          <cell r="E572" t="str">
            <v>WN5B - Pond Management - restoration - first 100 sq m</v>
          </cell>
          <cell r="F572" t="str">
            <v>Capital - Wetlands</v>
          </cell>
        </row>
        <row r="573">
          <cell r="D573" t="str">
            <v>WN5B</v>
          </cell>
          <cell r="E573" t="str">
            <v>WN5B - Pond Management - restoration - first 100 sq m</v>
          </cell>
          <cell r="F573" t="str">
            <v>Capital - Wetlands</v>
          </cell>
        </row>
        <row r="574">
          <cell r="D574" t="str">
            <v>SAM2</v>
          </cell>
          <cell r="E574" t="str">
            <v>SAM2 - Multi-species winter cover crops</v>
          </cell>
          <cell r="F574" t="str">
            <v>Revenue - ELMS</v>
          </cell>
        </row>
        <row r="575">
          <cell r="D575" t="str">
            <v>FM1</v>
          </cell>
          <cell r="E575" t="str">
            <v>FM1 - Management of geodiversity features</v>
          </cell>
          <cell r="F575" t="str">
            <v>Capital - Protected Areas</v>
          </cell>
        </row>
        <row r="576">
          <cell r="D576" t="str">
            <v>LH3</v>
          </cell>
          <cell r="E576" t="str">
            <v>LH3 - Creation of heathland from arable or improved grassland</v>
          </cell>
          <cell r="F576" t="str">
            <v>Revenue - Lowland Heathland</v>
          </cell>
        </row>
        <row r="577">
          <cell r="D577" t="str">
            <v>CGS16</v>
          </cell>
          <cell r="E577" t="str">
            <v>CGS16 - Supplement: Rush control</v>
          </cell>
          <cell r="F577" t="str">
            <v>Revenue - Grassland</v>
          </cell>
        </row>
        <row r="578">
          <cell r="D578" t="str">
            <v>LH3</v>
          </cell>
          <cell r="E578" t="str">
            <v>LH3 - Creation of heathland from arable or improved grassland</v>
          </cell>
          <cell r="F578" t="str">
            <v>Revenue - Lowland Heathland</v>
          </cell>
        </row>
        <row r="579">
          <cell r="D579" t="str">
            <v>LH3</v>
          </cell>
          <cell r="E579" t="str">
            <v>LH3 - Creation of heathland from arable or improved grassland</v>
          </cell>
          <cell r="F579" t="str">
            <v>Revenue - Lowland Heathland</v>
          </cell>
        </row>
        <row r="580">
          <cell r="D580" t="str">
            <v>LH3</v>
          </cell>
          <cell r="E580" t="str">
            <v>LH3 - Creation of heathland from arable or improved grassland</v>
          </cell>
          <cell r="F580" t="str">
            <v>Revenue - Lowland Heathland</v>
          </cell>
        </row>
        <row r="581">
          <cell r="D581" t="str">
            <v>HS8</v>
          </cell>
          <cell r="E581" t="str">
            <v>HS8 - Maintenance of Weatherproof Traditional Farm Buildings in Remote Areas</v>
          </cell>
          <cell r="F581" t="str">
            <v>Revenue - Historic Environment and Landscape</v>
          </cell>
        </row>
        <row r="582">
          <cell r="D582" t="str">
            <v>FG14</v>
          </cell>
          <cell r="E582" t="str">
            <v>FG14 - Badger Gates</v>
          </cell>
          <cell r="F582" t="str">
            <v>Capital - Species</v>
          </cell>
        </row>
        <row r="583">
          <cell r="D583" t="str">
            <v>HS8</v>
          </cell>
          <cell r="E583" t="str">
            <v>HS8 - Maintenance of Weatherproof Traditional Farm Buildings in Remote Areas</v>
          </cell>
          <cell r="F583" t="str">
            <v>Revenue - Historic Environment and Landscape</v>
          </cell>
        </row>
        <row r="584">
          <cell r="D584" t="str">
            <v>FG14</v>
          </cell>
          <cell r="E584" t="str">
            <v>FG14 - Badger Gates</v>
          </cell>
          <cell r="F584" t="str">
            <v>Capital - Species</v>
          </cell>
        </row>
        <row r="585">
          <cell r="D585" t="str">
            <v>GRH1</v>
          </cell>
          <cell r="E585" t="str">
            <v>GRH1 - Manage rough grazing for birds</v>
          </cell>
          <cell r="F585" t="str">
            <v>Revenue - Grassland</v>
          </cell>
        </row>
        <row r="586">
          <cell r="D586" t="str">
            <v>HS8</v>
          </cell>
          <cell r="E586" t="str">
            <v>HS8 - Maintenance of Weatherproof Traditional Farm Buildings in Remote Areas</v>
          </cell>
          <cell r="F586" t="str">
            <v>Revenue - Historic Environment and Landscape</v>
          </cell>
        </row>
        <row r="587">
          <cell r="D587" t="str">
            <v>HS8</v>
          </cell>
          <cell r="E587" t="str">
            <v>HS8 - Maintenance of Weatherproof Traditional Farm Buildings in Remote Areas</v>
          </cell>
          <cell r="F587" t="str">
            <v>Revenue - Historic Environment and Landscape</v>
          </cell>
        </row>
        <row r="588">
          <cell r="D588" t="str">
            <v>LV3</v>
          </cell>
          <cell r="E588" t="str">
            <v>LV3 - Hard bases for livestock drinkers</v>
          </cell>
          <cell r="F588" t="str">
            <v>Capital - Soil and Water</v>
          </cell>
        </row>
        <row r="589">
          <cell r="D589" t="str">
            <v>AH2S</v>
          </cell>
          <cell r="E589" t="str">
            <v>AH2S - Arable and Horticultural soil</v>
          </cell>
          <cell r="F589" t="str">
            <v>Revenue - ELMS</v>
          </cell>
        </row>
        <row r="590">
          <cell r="D590" t="str">
            <v>RP22</v>
          </cell>
          <cell r="E590" t="str">
            <v>RP22 - Sheep dip drainage aprons and sumps</v>
          </cell>
          <cell r="F590" t="str">
            <v>Capital - Soil and Water</v>
          </cell>
        </row>
        <row r="591">
          <cell r="D591" t="str">
            <v>RP22</v>
          </cell>
          <cell r="E591" t="str">
            <v>RP22 - Sheep dip drainage aprons and sumps</v>
          </cell>
          <cell r="F591" t="str">
            <v>Capital - Soil and Water</v>
          </cell>
        </row>
        <row r="592">
          <cell r="D592" t="str">
            <v>CAGF2</v>
          </cell>
          <cell r="E592" t="str">
            <v>CAGF2 - Maintain low density in-field agroforestry on more sensitive land </v>
          </cell>
          <cell r="F592" t="str">
            <v>Revenue - Agroforestry</v>
          </cell>
        </row>
        <row r="593">
          <cell r="D593" t="str">
            <v>CWS7</v>
          </cell>
          <cell r="E593" t="str">
            <v>CWS7 - Supplement: Manage historic features in woodlands</v>
          </cell>
          <cell r="F593" t="str">
            <v>Revenue - Woodland and trees</v>
          </cell>
        </row>
        <row r="594">
          <cell r="D594" t="str">
            <v>LV3</v>
          </cell>
          <cell r="E594" t="str">
            <v>LV3 - Hard bases for livestock drinkers</v>
          </cell>
          <cell r="F594" t="str">
            <v>Capital - Soil and Water</v>
          </cell>
        </row>
        <row r="595">
          <cell r="D595" t="str">
            <v>GS13</v>
          </cell>
          <cell r="E595" t="str">
            <v>GS13 - Management of grassland for target features</v>
          </cell>
          <cell r="F595" t="str">
            <v>Revenue - Grassland</v>
          </cell>
        </row>
        <row r="596">
          <cell r="D596" t="str">
            <v>CIPM3</v>
          </cell>
          <cell r="E596" t="str">
            <v>CIPM3 - Companion crop on arable and horticultural land</v>
          </cell>
          <cell r="F596" t="str">
            <v>Revenue - Integrated pest management</v>
          </cell>
        </row>
        <row r="597">
          <cell r="D597" t="str">
            <v>HEF3</v>
          </cell>
          <cell r="E597" t="str">
            <v>HEF3 - Take historic and archaeological features out of cultivation</v>
          </cell>
          <cell r="F597" t="str">
            <v>Revenue - Heritage</v>
          </cell>
        </row>
        <row r="598">
          <cell r="D598" t="str">
            <v>GS13</v>
          </cell>
          <cell r="E598" t="str">
            <v>GS13 - Management of grassland for target features</v>
          </cell>
          <cell r="F598" t="str">
            <v>Revenue - Grassland</v>
          </cell>
        </row>
        <row r="599">
          <cell r="D599" t="str">
            <v>GS13</v>
          </cell>
          <cell r="E599" t="str">
            <v>GS13 - Management of grassland for target features</v>
          </cell>
          <cell r="F599" t="str">
            <v>Revenue - Grassland</v>
          </cell>
        </row>
        <row r="600">
          <cell r="D600" t="str">
            <v>GS13</v>
          </cell>
          <cell r="E600" t="str">
            <v>GS13 - Management of grassland for target features</v>
          </cell>
          <cell r="F600" t="str">
            <v>Revenue - Grassland</v>
          </cell>
        </row>
        <row r="601">
          <cell r="D601" t="str">
            <v>IG1B</v>
          </cell>
          <cell r="E601" t="str">
            <v>IG1B - Additional Payment</v>
          </cell>
          <cell r="F601" t="str">
            <v>Revenue - ELMS</v>
          </cell>
        </row>
        <row r="602">
          <cell r="D602" t="str">
            <v>LV4</v>
          </cell>
          <cell r="E602" t="str">
            <v>LV4 - Hard bases for livestock feeders</v>
          </cell>
          <cell r="F602" t="str">
            <v>Capital - Soil and Water</v>
          </cell>
        </row>
        <row r="603">
          <cell r="D603" t="str">
            <v>CT1</v>
          </cell>
          <cell r="E603" t="str">
            <v>CT1 - Management of coastal sand dunes and vegetated shingle</v>
          </cell>
          <cell r="F603" t="str">
            <v>Revenue - Coastal</v>
          </cell>
        </row>
        <row r="604">
          <cell r="D604" t="str">
            <v>CWT12</v>
          </cell>
          <cell r="E604" t="str">
            <v>CWT12 - Supplement: Wetland grazing</v>
          </cell>
          <cell r="F604" t="str">
            <v>Revenue - Wetlands</v>
          </cell>
        </row>
        <row r="605">
          <cell r="D605" t="str">
            <v>CT1</v>
          </cell>
          <cell r="E605" t="str">
            <v>CT1 - Management of coastal sand dunes and vegetated shingle</v>
          </cell>
          <cell r="F605" t="str">
            <v>Revenue - Coastal</v>
          </cell>
        </row>
        <row r="606">
          <cell r="D606" t="str">
            <v>LV4</v>
          </cell>
          <cell r="E606" t="str">
            <v>LV4 - Hard bases for livestock feeders</v>
          </cell>
          <cell r="F606" t="str">
            <v>Capital - Soil and Water</v>
          </cell>
        </row>
        <row r="607">
          <cell r="D607" t="str">
            <v>CT1</v>
          </cell>
          <cell r="E607" t="str">
            <v>CT1 - Management of coastal sand dunes and vegetated shingle</v>
          </cell>
          <cell r="F607" t="str">
            <v>Revenue - Coastal</v>
          </cell>
        </row>
        <row r="608">
          <cell r="D608" t="str">
            <v>CT1</v>
          </cell>
          <cell r="E608" t="str">
            <v>CT1 - Management of coastal sand dunes and vegetated shingle</v>
          </cell>
          <cell r="F608" t="str">
            <v>Revenue - Coastal</v>
          </cell>
        </row>
        <row r="609">
          <cell r="D609" t="str">
            <v>CWS9</v>
          </cell>
          <cell r="E609" t="str">
            <v>CWS9 - Supplement: Manage woodlands for flood and drought mitigation</v>
          </cell>
          <cell r="F609" t="str">
            <v>Revenue - Woodland and trees</v>
          </cell>
        </row>
        <row r="610">
          <cell r="D610" t="str">
            <v>AB15</v>
          </cell>
          <cell r="E610" t="str">
            <v>AB15 - Two year sown legume fallow</v>
          </cell>
          <cell r="F610" t="str">
            <v>Revenue - Arable</v>
          </cell>
        </row>
        <row r="611">
          <cell r="D611" t="str">
            <v>SB7</v>
          </cell>
          <cell r="E611" t="str">
            <v>SB7 - Plant Health Supplement</v>
          </cell>
          <cell r="F611" t="str">
            <v>Capital - Forestry</v>
          </cell>
        </row>
        <row r="612">
          <cell r="D612" t="str">
            <v>AB15</v>
          </cell>
          <cell r="E612" t="str">
            <v>AB15 - Two year sown legume fallow</v>
          </cell>
          <cell r="F612" t="str">
            <v>Revenue - Arable</v>
          </cell>
        </row>
        <row r="613">
          <cell r="D613" t="str">
            <v>AB15</v>
          </cell>
          <cell r="E613" t="str">
            <v>AB15 - Two year sown legume fallow</v>
          </cell>
          <cell r="F613" t="str">
            <v>Revenue - Arable</v>
          </cell>
        </row>
        <row r="614">
          <cell r="D614" t="str">
            <v>AB15</v>
          </cell>
          <cell r="E614" t="str">
            <v>AB15 - Two year sown legume fallow</v>
          </cell>
          <cell r="F614" t="str">
            <v>Revenue - Arable</v>
          </cell>
        </row>
        <row r="615">
          <cell r="D615" t="str">
            <v>CCT7</v>
          </cell>
          <cell r="E615" t="str">
            <v>CCT7 - Create inter-tidal and saline habitat on intensive grassland</v>
          </cell>
          <cell r="F615" t="str">
            <v>Revenue - Coastal habitat</v>
          </cell>
        </row>
        <row r="616">
          <cell r="D616" t="str">
            <v>HS3</v>
          </cell>
          <cell r="E616" t="str">
            <v>HS3 - Reduced depth, non-inversion cultivation on historic and archaeological features</v>
          </cell>
          <cell r="F616" t="str">
            <v>Revenue - Historic Environment and Landscape</v>
          </cell>
        </row>
        <row r="617">
          <cell r="D617" t="str">
            <v>HS3</v>
          </cell>
          <cell r="E617" t="str">
            <v>HS3 - Reduced depth, non-inversion cultivation on historic and archaeological features</v>
          </cell>
          <cell r="F617" t="str">
            <v>Revenue - Historic Environment and Landscape</v>
          </cell>
        </row>
        <row r="618">
          <cell r="D618" t="str">
            <v>HS3</v>
          </cell>
          <cell r="E618" t="str">
            <v>HS3 - Reduced depth, non-inversion cultivation on historic and archaeological features</v>
          </cell>
          <cell r="F618" t="str">
            <v>Revenue - Historic Environment and Landscape</v>
          </cell>
        </row>
        <row r="619">
          <cell r="D619" t="str">
            <v>CWS11</v>
          </cell>
          <cell r="E619" t="str">
            <v>CWS11 - Supplement: 3-zone rides</v>
          </cell>
          <cell r="F619" t="str">
            <v>Revenue - Woodland and trees</v>
          </cell>
        </row>
        <row r="620">
          <cell r="D620" t="str">
            <v>GS1</v>
          </cell>
          <cell r="E620" t="str">
            <v>GS1 - Take field corners and small areas out of management</v>
          </cell>
          <cell r="F620" t="str">
            <v>Revenue - Grassland</v>
          </cell>
        </row>
        <row r="621">
          <cell r="D621" t="str">
            <v>HS3</v>
          </cell>
          <cell r="E621" t="str">
            <v>HS3 - Reduced depth, non-inversion cultivation on historic and archaeological features</v>
          </cell>
          <cell r="F621" t="str">
            <v>Revenue - Historic Environment and Landscape</v>
          </cell>
        </row>
        <row r="622">
          <cell r="D622" t="str">
            <v>GS1</v>
          </cell>
          <cell r="E622" t="str">
            <v>GS1 - Take field corners and small areas out of management</v>
          </cell>
          <cell r="F622" t="str">
            <v>Revenue - Grassland</v>
          </cell>
        </row>
        <row r="623">
          <cell r="D623" t="str">
            <v>OP4</v>
          </cell>
          <cell r="E623" t="str">
            <v>OP4 - Multi species ley</v>
          </cell>
          <cell r="F623" t="str">
            <v>Revenue - Options exclusive to Organic land</v>
          </cell>
        </row>
        <row r="624">
          <cell r="D624" t="str">
            <v>HS3</v>
          </cell>
          <cell r="E624" t="str">
            <v>HS3 - Reduced depth, non-inversion cultivation on historic and archaeological features</v>
          </cell>
          <cell r="F624" t="str">
            <v>Revenue - Historic Environment and Landscape</v>
          </cell>
        </row>
        <row r="625">
          <cell r="D625" t="str">
            <v>OP4</v>
          </cell>
          <cell r="E625" t="str">
            <v>OP4 - Multi species ley</v>
          </cell>
          <cell r="F625" t="str">
            <v>Revenue - Options exclusive to Organic land</v>
          </cell>
        </row>
        <row r="626">
          <cell r="D626" t="str">
            <v>WBD1</v>
          </cell>
          <cell r="E626" t="str">
            <v>WBD1 - Manage ponds</v>
          </cell>
          <cell r="F626" t="str">
            <v>Revenue - Lakes/Ponds/Ditches</v>
          </cell>
        </row>
        <row r="627">
          <cell r="D627" t="str">
            <v>BFS6</v>
          </cell>
          <cell r="E627" t="str">
            <v>BFS6 - Habitat strip next to watercourses</v>
          </cell>
          <cell r="F627" t="str">
            <v>Revenue - Waterbodies</v>
          </cell>
        </row>
        <row r="628">
          <cell r="D628" t="str">
            <v>CSW17</v>
          </cell>
          <cell r="E628" t="str">
            <v>CSW17 - Raise water levels in cropped or arable peat soils to near the land surface</v>
          </cell>
          <cell r="F628" t="str">
            <v>Revenue - Lowland Peat</v>
          </cell>
        </row>
        <row r="629">
          <cell r="D629" t="str">
            <v>WT2</v>
          </cell>
          <cell r="E629" t="str">
            <v>WT2 - Buffering in-field ponds and ditches on arable land</v>
          </cell>
          <cell r="F629" t="str">
            <v>Revenue - Wetlands</v>
          </cell>
        </row>
        <row r="630">
          <cell r="D630" t="str">
            <v>WT2</v>
          </cell>
          <cell r="E630" t="str">
            <v>WT2 - Buffering in-field ponds and ditches on arable land</v>
          </cell>
          <cell r="F630" t="str">
            <v>Revenue - Wetlands</v>
          </cell>
        </row>
        <row r="631">
          <cell r="D631" t="str">
            <v>WT2</v>
          </cell>
          <cell r="E631" t="str">
            <v>WT2 - Buffering in-field ponds and ditches on arable land</v>
          </cell>
          <cell r="F631" t="str">
            <v>Revenue - Wetlands</v>
          </cell>
        </row>
        <row r="632">
          <cell r="D632" t="str">
            <v>BN7</v>
          </cell>
          <cell r="E632" t="str">
            <v>BN7 - Hedgerow Gapping</v>
          </cell>
          <cell r="F632" t="str">
            <v>Capital - Boundaries, Trees and Orchards</v>
          </cell>
        </row>
        <row r="633">
          <cell r="D633" t="str">
            <v>BN7</v>
          </cell>
          <cell r="E633" t="str">
            <v>BN7 - Hedgerow Gapping</v>
          </cell>
          <cell r="F633" t="str">
            <v>Capital - Boundaries, Trees and Orchards</v>
          </cell>
        </row>
        <row r="634">
          <cell r="D634" t="str">
            <v>WT2</v>
          </cell>
          <cell r="E634" t="str">
            <v>WT2 - Buffering in-field ponds and ditches on arable land</v>
          </cell>
          <cell r="F634" t="str">
            <v>Revenue - Wetlands</v>
          </cell>
        </row>
        <row r="635">
          <cell r="D635" t="str">
            <v>WT2</v>
          </cell>
          <cell r="E635" t="str">
            <v>WT2 - Buffering in-field ponds and ditches on arable land</v>
          </cell>
          <cell r="F635" t="str">
            <v>Revenue - Wetlands</v>
          </cell>
        </row>
        <row r="636">
          <cell r="D636" t="str">
            <v>OFA3</v>
          </cell>
          <cell r="E636" t="str">
            <v>OFA3 - Supplementary winter bird food (organic land)</v>
          </cell>
          <cell r="F636" t="str">
            <v>Revenue - Organic</v>
          </cell>
        </row>
        <row r="637">
          <cell r="D637" t="str">
            <v>BND2</v>
          </cell>
          <cell r="E637" t="str">
            <v>BND2 - Maintain earth banks or stone-faced hedgebanks</v>
          </cell>
          <cell r="F637" t="str">
            <v>Revenue - Boundaries</v>
          </cell>
        </row>
        <row r="638">
          <cell r="D638" t="str">
            <v>AB12</v>
          </cell>
          <cell r="E638" t="str">
            <v>AB12 - Supplementary winter feeding for farmland birds</v>
          </cell>
          <cell r="F638" t="str">
            <v>Revenue - Arable</v>
          </cell>
        </row>
        <row r="639">
          <cell r="D639" t="str">
            <v>RP16</v>
          </cell>
          <cell r="E639" t="str">
            <v>RP16 - Rainwater goods</v>
          </cell>
          <cell r="F639" t="str">
            <v>Capital - Soil and Water</v>
          </cell>
        </row>
        <row r="640">
          <cell r="D640" t="str">
            <v>AB12</v>
          </cell>
          <cell r="E640" t="str">
            <v>AB12 - Supplementary winter feeding for farmland birds</v>
          </cell>
          <cell r="F640" t="str">
            <v>Revenue - Arable</v>
          </cell>
        </row>
        <row r="641">
          <cell r="D641" t="str">
            <v>TE1</v>
          </cell>
          <cell r="E641" t="str">
            <v>TE1 - Planting Standard Hedgerow Tree</v>
          </cell>
          <cell r="F641" t="str">
            <v>Capital - Boundaries, Trees and Orchards</v>
          </cell>
        </row>
        <row r="642">
          <cell r="D642" t="str">
            <v>TE1</v>
          </cell>
          <cell r="E642" t="str">
            <v>TE1 - Planting Standard Hedgerow Tree</v>
          </cell>
          <cell r="F642" t="str">
            <v>Capital - Boundaries, Trees and Orchards</v>
          </cell>
        </row>
        <row r="643">
          <cell r="D643" t="str">
            <v>GRH7</v>
          </cell>
          <cell r="E643" t="str">
            <v>GRH7 - Supplement: Haymaking</v>
          </cell>
          <cell r="F643" t="str">
            <v>Revenue - Grassland</v>
          </cell>
        </row>
        <row r="644">
          <cell r="D644" t="str">
            <v>AB12</v>
          </cell>
          <cell r="E644" t="str">
            <v>AB12 - Supplementary winter feeding for farmland birds</v>
          </cell>
          <cell r="F644" t="str">
            <v>Revenue - Arable</v>
          </cell>
        </row>
        <row r="645">
          <cell r="D645" t="str">
            <v>IG3B</v>
          </cell>
          <cell r="E645" t="str">
            <v>IG3B - Additional Payment</v>
          </cell>
          <cell r="F645" t="str">
            <v>Revenue - ELMS</v>
          </cell>
        </row>
        <row r="646">
          <cell r="D646" t="str">
            <v>IG3B</v>
          </cell>
          <cell r="E646" t="str">
            <v>IG3B - Additional Payment</v>
          </cell>
          <cell r="F646" t="str">
            <v>Revenue - ELMS</v>
          </cell>
        </row>
        <row r="647">
          <cell r="D647" t="str">
            <v>CHRW3</v>
          </cell>
          <cell r="E647" t="str">
            <v>CHRW3 - Maintain or establish hedgerow trees</v>
          </cell>
          <cell r="F647" t="str">
            <v>Revenue - Boundaries</v>
          </cell>
        </row>
        <row r="648">
          <cell r="D648" t="str">
            <v>RP16</v>
          </cell>
          <cell r="E648" t="str">
            <v>RP16 - Rainwater goods</v>
          </cell>
          <cell r="F648" t="str">
            <v>Capital - Soil and Water</v>
          </cell>
        </row>
        <row r="649">
          <cell r="D649" t="str">
            <v>AB12</v>
          </cell>
          <cell r="E649" t="str">
            <v>AB12 - Supplementary winter feeding for farmland birds</v>
          </cell>
          <cell r="F649" t="str">
            <v>Revenue - Arable</v>
          </cell>
        </row>
        <row r="650">
          <cell r="D650" t="str">
            <v>GS3C</v>
          </cell>
          <cell r="E650" t="str">
            <v>GS3C - Additional Payment</v>
          </cell>
          <cell r="F650" t="str">
            <v>Revenue - ELMS</v>
          </cell>
        </row>
        <row r="651">
          <cell r="D651" t="str">
            <v>RP12</v>
          </cell>
          <cell r="E651" t="str">
            <v>RP12 - Check dams and woody debris dams</v>
          </cell>
          <cell r="F651" t="str">
            <v>Capital - Soil and Water</v>
          </cell>
        </row>
        <row r="652">
          <cell r="D652" t="str">
            <v>TE4B</v>
          </cell>
          <cell r="E652" t="str">
            <v>TE4B - Woodland Tree Planting - Improving water quality or reducing flood risk</v>
          </cell>
          <cell r="F652" t="str">
            <v>Capital - Forestry</v>
          </cell>
        </row>
        <row r="653">
          <cell r="D653" t="str">
            <v>CUP15</v>
          </cell>
          <cell r="E653" t="str">
            <v>CUP15 - Supplement: Keep cattle and ponies on moorland (minimum 30% GLU)</v>
          </cell>
          <cell r="F653" t="str">
            <v>Revenue - Moorland</v>
          </cell>
        </row>
        <row r="654">
          <cell r="D654" t="str">
            <v>TE4B</v>
          </cell>
          <cell r="E654" t="str">
            <v>TE4B - Woodland Tree Planting - Improving water quality or reducing flood risk</v>
          </cell>
          <cell r="F654" t="str">
            <v>Capital - Forestry</v>
          </cell>
        </row>
        <row r="655">
          <cell r="D655" t="str">
            <v>RP12</v>
          </cell>
          <cell r="E655" t="str">
            <v>RP12 - Check dams and woody debris dams</v>
          </cell>
          <cell r="F655" t="str">
            <v>Capital - Soil and Water</v>
          </cell>
        </row>
        <row r="656">
          <cell r="D656" t="str">
            <v>TE4A</v>
          </cell>
          <cell r="E656" t="str">
            <v>TE4A - Woodland Tree Planting - Biodiversity</v>
          </cell>
          <cell r="F656" t="str">
            <v>Capital - Forestry</v>
          </cell>
        </row>
        <row r="657">
          <cell r="D657" t="str">
            <v>SS3A</v>
          </cell>
          <cell r="E657" t="str">
            <v>SS3A - Arable &amp; Horticultural Soils</v>
          </cell>
          <cell r="F657" t="str">
            <v>Revenue - ELMS</v>
          </cell>
        </row>
        <row r="658">
          <cell r="D658" t="str">
            <v>TE4A</v>
          </cell>
          <cell r="E658" t="str">
            <v>TE4A - Woodland Tree Planting - Biodiversity</v>
          </cell>
          <cell r="F658" t="str">
            <v>Capital - Forestry</v>
          </cell>
        </row>
        <row r="659">
          <cell r="D659" t="str">
            <v>RP21</v>
          </cell>
          <cell r="E659" t="str">
            <v>RP21 - Relocation of sheep pens only</v>
          </cell>
          <cell r="F659" t="str">
            <v>Capital - Soil and Water</v>
          </cell>
        </row>
        <row r="660">
          <cell r="D660" t="str">
            <v>RP21</v>
          </cell>
          <cell r="E660" t="str">
            <v>RP21 - Relocation of sheep pens only</v>
          </cell>
          <cell r="F660" t="str">
            <v>Capital - Soil and Water</v>
          </cell>
        </row>
        <row r="661">
          <cell r="D661" t="str">
            <v>CHS3</v>
          </cell>
          <cell r="E661" t="str">
            <v>CHS3 - Use reduced-depth, non-inversion cultivation on historic and archaeological features</v>
          </cell>
          <cell r="F661" t="str">
            <v>Revenue - Heritage</v>
          </cell>
        </row>
        <row r="662">
          <cell r="D662" t="str">
            <v>CAHL3</v>
          </cell>
          <cell r="E662" t="str">
            <v>CAHL3 - Grassy field corners and blocks</v>
          </cell>
          <cell r="F662" t="str">
            <v>Revenue - Arable</v>
          </cell>
        </row>
        <row r="663">
          <cell r="D663" t="str">
            <v>IG1A</v>
          </cell>
          <cell r="E663" t="str">
            <v>IG1A - Improved Grassland</v>
          </cell>
          <cell r="F663" t="str">
            <v>Revenue - ELMS</v>
          </cell>
        </row>
        <row r="664">
          <cell r="D664" t="str">
            <v>PRF4</v>
          </cell>
          <cell r="E664" t="str">
            <v>PRF4 - Mechanical robotic weeding</v>
          </cell>
          <cell r="F664" t="str">
            <v>Revenue - Precision farming</v>
          </cell>
        </row>
        <row r="665">
          <cell r="D665" t="str">
            <v>AF2</v>
          </cell>
          <cell r="E665" t="str">
            <v>AF2 - Plant an agro-forestry fruit tree</v>
          </cell>
          <cell r="F665" t="str">
            <v>Capital - Boundaries, Trees and Orchards</v>
          </cell>
        </row>
        <row r="666">
          <cell r="D666" t="str">
            <v>IG1A</v>
          </cell>
          <cell r="E666" t="str">
            <v>IG1A - Improved Grassland</v>
          </cell>
          <cell r="F666" t="str">
            <v>Revenue - ELMS</v>
          </cell>
        </row>
        <row r="667">
          <cell r="D667" t="str">
            <v>WD5</v>
          </cell>
          <cell r="E667" t="str">
            <v>WD5 - Restoration of wood pasture and parkland</v>
          </cell>
          <cell r="F667" t="str">
            <v>Revenue - Woodland and Scrub</v>
          </cell>
        </row>
        <row r="668">
          <cell r="D668" t="str">
            <v>WD5</v>
          </cell>
          <cell r="E668" t="str">
            <v>WD5 - Restoration of wood pasture and parkland</v>
          </cell>
          <cell r="F668" t="str">
            <v>Revenue - Woodland and Scrub</v>
          </cell>
        </row>
        <row r="669">
          <cell r="D669" t="str">
            <v>WD5</v>
          </cell>
          <cell r="E669" t="str">
            <v>WD5 - Restoration of wood pasture and parkland</v>
          </cell>
          <cell r="F669" t="str">
            <v>Revenue - Woodland and Scrub</v>
          </cell>
        </row>
        <row r="670">
          <cell r="D670" t="str">
            <v>BE4</v>
          </cell>
          <cell r="E670" t="str">
            <v>BE4 - Management of traditional orchards</v>
          </cell>
          <cell r="F670" t="str">
            <v>Revenue - Boundaries, Trees and Orchards</v>
          </cell>
        </row>
        <row r="671">
          <cell r="D671" t="str">
            <v>BE4</v>
          </cell>
          <cell r="E671" t="str">
            <v>BE4 - Management of traditional orchards</v>
          </cell>
          <cell r="F671" t="str">
            <v>Revenue - Boundaries, Trees and Orchards</v>
          </cell>
        </row>
        <row r="672">
          <cell r="D672" t="str">
            <v>OFM5</v>
          </cell>
          <cell r="E672" t="str">
            <v>OFM5 - Organic land management - horticultural land</v>
          </cell>
          <cell r="F672" t="str">
            <v>Revenue - Organic</v>
          </cell>
        </row>
        <row r="673">
          <cell r="D673" t="str">
            <v>BE4</v>
          </cell>
          <cell r="E673" t="str">
            <v>BE4 - Management of traditional orchards</v>
          </cell>
          <cell r="F673" t="str">
            <v>Revenue - Boundaries, Trees and Orchards</v>
          </cell>
        </row>
        <row r="674">
          <cell r="D674" t="str">
            <v>CCT8</v>
          </cell>
          <cell r="E674" t="str">
            <v>CCT8 - Manage and restore coastal sand dunes</v>
          </cell>
          <cell r="F674" t="str">
            <v>Revenue - Coastal habitat</v>
          </cell>
        </row>
        <row r="675">
          <cell r="D675" t="str">
            <v>HE3</v>
          </cell>
          <cell r="E675" t="str">
            <v>HE3 - Removal of eyesore</v>
          </cell>
          <cell r="F675" t="str">
            <v>Capital - Historic Environment and Landscape</v>
          </cell>
        </row>
        <row r="676">
          <cell r="D676" t="str">
            <v>HE3</v>
          </cell>
          <cell r="E676" t="str">
            <v>HE3 - Removal of eyesore</v>
          </cell>
          <cell r="F676" t="str">
            <v>Capital - Historic Environment and Landscape</v>
          </cell>
        </row>
        <row r="677">
          <cell r="D677" t="str">
            <v>RP20</v>
          </cell>
          <cell r="E677" t="str">
            <v>RP20 - Relocation of sheep dips and pens</v>
          </cell>
          <cell r="F677" t="str">
            <v>Capital - Soil and Water</v>
          </cell>
        </row>
        <row r="678">
          <cell r="D678" t="str">
            <v>RP20</v>
          </cell>
          <cell r="E678" t="str">
            <v>RP20 - Relocation of sheep dips and pens</v>
          </cell>
          <cell r="F678" t="str">
            <v>Capital - Soil and Water</v>
          </cell>
        </row>
        <row r="679">
          <cell r="D679" t="str">
            <v>LIG2</v>
          </cell>
          <cell r="E679" t="str">
            <v>LIG2 - Manage grassland with very low nutrient inputs (SDAs)</v>
          </cell>
          <cell r="F679" t="str">
            <v>Revenue - ELMS</v>
          </cell>
        </row>
        <row r="680">
          <cell r="D680" t="str">
            <v>FY2A</v>
          </cell>
          <cell r="E680" t="str">
            <v>FY2A - Capital investments to improve access infrastructure to woodlands.</v>
          </cell>
          <cell r="F680" t="str">
            <v>Capital - Forestry</v>
          </cell>
        </row>
        <row r="681">
          <cell r="D681" t="str">
            <v>RP32</v>
          </cell>
          <cell r="E681" t="str">
            <v>RP32 - Small Leaky Woody Dam</v>
          </cell>
          <cell r="F681" t="str">
            <v>Capital - Soil and Water</v>
          </cell>
        </row>
        <row r="682">
          <cell r="D682" t="str">
            <v>OT1</v>
          </cell>
          <cell r="E682" t="str">
            <v>OT1 - Organic land management - improved permanent grassland</v>
          </cell>
          <cell r="F682" t="str">
            <v>Revenue - Organic maintenance</v>
          </cell>
        </row>
        <row r="683">
          <cell r="D683" t="str">
            <v>WBD2</v>
          </cell>
          <cell r="E683" t="str">
            <v>WBD2 - Manage ditches</v>
          </cell>
          <cell r="F683" t="str">
            <v>Revenue - Lakes/Ponds/Ditches</v>
          </cell>
        </row>
        <row r="684">
          <cell r="D684" t="str">
            <v>OT1</v>
          </cell>
          <cell r="E684" t="str">
            <v>OT1 - Organic land management - improved permanent grassland</v>
          </cell>
          <cell r="F684" t="str">
            <v>Revenue - Organic maintenance</v>
          </cell>
        </row>
        <row r="685">
          <cell r="D685" t="str">
            <v>CWD2</v>
          </cell>
          <cell r="E685" t="str">
            <v>CWD2 - Woodland improvement</v>
          </cell>
          <cell r="F685" t="str">
            <v>Revenue - Woodland and trees</v>
          </cell>
        </row>
        <row r="686">
          <cell r="D686" t="str">
            <v>BC1</v>
          </cell>
          <cell r="E686" t="str">
            <v>BC1 - Flow control device</v>
          </cell>
          <cell r="F686" t="str">
            <v>Capital - Beavers</v>
          </cell>
        </row>
        <row r="687">
          <cell r="D687" t="str">
            <v>PRF3</v>
          </cell>
          <cell r="E687" t="str">
            <v>PRF3 - Non-mechanical robotic weeding</v>
          </cell>
          <cell r="F687" t="str">
            <v>Revenue - Precision farming</v>
          </cell>
        </row>
        <row r="688">
          <cell r="D688" t="str">
            <v>SS2A</v>
          </cell>
          <cell r="E688" t="str">
            <v>SS2A - Arable &amp; Horticultural Soils</v>
          </cell>
          <cell r="F688" t="str">
            <v>Revenue - ELMS</v>
          </cell>
        </row>
        <row r="689">
          <cell r="D689" t="str">
            <v>GRH11</v>
          </cell>
          <cell r="E689" t="str">
            <v>GRH11 - Supplement: Cattle grazing (non-moorland)</v>
          </cell>
          <cell r="F689" t="str">
            <v>Revenue - Grassland</v>
          </cell>
        </row>
        <row r="690">
          <cell r="D690" t="str">
            <v>SS2A</v>
          </cell>
          <cell r="E690" t="str">
            <v>SS2A - Arable &amp; Horticultural Soils</v>
          </cell>
          <cell r="F690" t="str">
            <v>Revenue - ELMS</v>
          </cell>
        </row>
        <row r="691">
          <cell r="D691" t="str">
            <v>OT3</v>
          </cell>
          <cell r="E691" t="str">
            <v>OT3 - Organic Land Management - rotational land</v>
          </cell>
          <cell r="F691" t="str">
            <v>Revenue - Organic maintenance</v>
          </cell>
        </row>
        <row r="692">
          <cell r="D692" t="str">
            <v>OT3</v>
          </cell>
          <cell r="E692" t="str">
            <v>OT3 - Organic Land Management - rotational land</v>
          </cell>
          <cell r="F692" t="str">
            <v>Revenue - Organic maintenance</v>
          </cell>
        </row>
        <row r="693">
          <cell r="D693" t="str">
            <v>CAGF4</v>
          </cell>
          <cell r="E693" t="str">
            <v>CAGF4 - Maintain very low density in-field agroforestry on more sensitive land </v>
          </cell>
          <cell r="F693" t="str">
            <v>Revenue - Agroforestry</v>
          </cell>
        </row>
        <row r="694">
          <cell r="D694" t="str">
            <v>WN9</v>
          </cell>
          <cell r="E694" t="str">
            <v>WN9 - Brick, Stone or Concrete Sluice</v>
          </cell>
          <cell r="F694" t="str">
            <v>Capital - Wetlands</v>
          </cell>
        </row>
        <row r="695">
          <cell r="D695" t="str">
            <v>TE10</v>
          </cell>
          <cell r="E695" t="str">
            <v>TE10 - Coppicing Bank-side Trees</v>
          </cell>
          <cell r="F695" t="str">
            <v>Capital - Woodland and Scrub</v>
          </cell>
        </row>
        <row r="696">
          <cell r="D696" t="str">
            <v>WBD9</v>
          </cell>
          <cell r="E696" t="str">
            <v>WBD9 - Supplement: Nil fertiliser</v>
          </cell>
          <cell r="F696" t="str">
            <v>Revenue - Improving soil health</v>
          </cell>
        </row>
        <row r="697">
          <cell r="D697" t="str">
            <v>IG2S</v>
          </cell>
          <cell r="E697" t="str">
            <v>IG2S - Improved Grassland soil</v>
          </cell>
          <cell r="F697" t="str">
            <v>Revenue - ELMS</v>
          </cell>
        </row>
        <row r="698">
          <cell r="D698" t="str">
            <v>OT3</v>
          </cell>
          <cell r="E698" t="str">
            <v>OT3 - Organic Land Management - rotational land</v>
          </cell>
          <cell r="F698" t="str">
            <v>Revenue - Organic maintenance</v>
          </cell>
        </row>
        <row r="699">
          <cell r="D699" t="str">
            <v>WN9</v>
          </cell>
          <cell r="E699" t="str">
            <v>WN9 - Brick, Stone or Concrete Sluice</v>
          </cell>
          <cell r="F699" t="str">
            <v>Capital - Wetlands</v>
          </cell>
        </row>
        <row r="700">
          <cell r="D700" t="str">
            <v>FW1D</v>
          </cell>
          <cell r="E700" t="str">
            <v>FW1D - Maintenance of New Tree Planting</v>
          </cell>
          <cell r="F700" t="str">
            <v>Revenue - ELMS</v>
          </cell>
        </row>
        <row r="701">
          <cell r="D701" t="str">
            <v>FW1D</v>
          </cell>
          <cell r="E701" t="str">
            <v>FW1D - Maintenance of New Tree Planting</v>
          </cell>
          <cell r="F701" t="str">
            <v>Revenue - ELMS</v>
          </cell>
        </row>
        <row r="702">
          <cell r="D702" t="str">
            <v>TE10</v>
          </cell>
          <cell r="E702" t="str">
            <v>TE10 - Coppicing Bank-side Trees</v>
          </cell>
          <cell r="F702" t="str">
            <v>Capital - Woodland and Scrub</v>
          </cell>
        </row>
        <row r="703">
          <cell r="D703" t="str">
            <v>WT12</v>
          </cell>
          <cell r="E703" t="str">
            <v>WT12 - Wetland grazing supplement</v>
          </cell>
          <cell r="F703" t="str">
            <v>Revenue - Wetlands</v>
          </cell>
        </row>
        <row r="704">
          <cell r="D704" t="str">
            <v>SB6A</v>
          </cell>
          <cell r="E704" t="str">
            <v>SB6A - Rhododendron control</v>
          </cell>
          <cell r="F704" t="str">
            <v>Capital - Forestry</v>
          </cell>
        </row>
        <row r="705">
          <cell r="D705" t="str">
            <v>AGF1</v>
          </cell>
          <cell r="E705" t="str">
            <v>AGF1 - Maintain very low density in-field agroforestry on less sensitive land</v>
          </cell>
          <cell r="F705" t="str">
            <v>Revenue - Agroforestry</v>
          </cell>
        </row>
        <row r="706">
          <cell r="D706" t="str">
            <v>AL1B</v>
          </cell>
          <cell r="E706" t="str">
            <v>AL1B - Additional Payment</v>
          </cell>
          <cell r="F706" t="str">
            <v>Revenue - ELMS</v>
          </cell>
        </row>
        <row r="707">
          <cell r="D707" t="str">
            <v>WT12</v>
          </cell>
          <cell r="E707" t="str">
            <v>WT12 - Wetland grazing supplement</v>
          </cell>
          <cell r="F707" t="str">
            <v>Revenue - Wetlands</v>
          </cell>
        </row>
        <row r="708">
          <cell r="D708" t="str">
            <v>WT12</v>
          </cell>
          <cell r="E708" t="str">
            <v>WT12 - Wetland grazing supplement</v>
          </cell>
          <cell r="F708" t="str">
            <v>Revenue - Wetlands</v>
          </cell>
        </row>
        <row r="709">
          <cell r="D709" t="str">
            <v>SB6A</v>
          </cell>
          <cell r="E709" t="str">
            <v>SB6A - Rhododendron control</v>
          </cell>
          <cell r="F709" t="str">
            <v>Capital - Forestry</v>
          </cell>
        </row>
        <row r="710">
          <cell r="D710" t="str">
            <v>WT12</v>
          </cell>
          <cell r="E710" t="str">
            <v>WT12 - Wetland grazing supplement</v>
          </cell>
          <cell r="F710" t="str">
            <v>Revenue - Wetlands</v>
          </cell>
        </row>
        <row r="711">
          <cell r="D711" t="str">
            <v>BN13</v>
          </cell>
          <cell r="E711" t="str">
            <v>BN13 - Stone Wall - Top Wiring</v>
          </cell>
          <cell r="F711" t="str">
            <v>Capital - Boundaries, Trees and Orchards</v>
          </cell>
        </row>
        <row r="712">
          <cell r="D712" t="str">
            <v>AL1B</v>
          </cell>
          <cell r="E712" t="str">
            <v>AL1B - Additional Payment</v>
          </cell>
          <cell r="F712" t="str">
            <v>Revenue - ELMS</v>
          </cell>
        </row>
        <row r="713">
          <cell r="D713" t="str">
            <v>AGF2</v>
          </cell>
          <cell r="E713" t="str">
            <v>AGF2 - Maintain low density in-field agroforestry on less sensitive land</v>
          </cell>
          <cell r="F713" t="str">
            <v>Revenue - Agroforestry</v>
          </cell>
        </row>
        <row r="714">
          <cell r="D714" t="str">
            <v>AF1</v>
          </cell>
          <cell r="E714" t="str">
            <v>AF1 - Plant an agro-forestry woodland tree</v>
          </cell>
          <cell r="F714" t="str">
            <v>Capital - Boundaries, Trees and Orchards</v>
          </cell>
        </row>
        <row r="715">
          <cell r="D715" t="str">
            <v>BN13</v>
          </cell>
          <cell r="E715" t="str">
            <v>BN13 - Stone Wall - Top Wiring</v>
          </cell>
          <cell r="F715" t="str">
            <v>Capital - Boundaries, Trees and Orchards</v>
          </cell>
        </row>
        <row r="716">
          <cell r="D716" t="str">
            <v>SP8</v>
          </cell>
          <cell r="E716" t="str">
            <v>SP8 - Native breeds at risk supplement</v>
          </cell>
          <cell r="F716" t="str">
            <v>Revenue - Grassland</v>
          </cell>
        </row>
        <row r="717">
          <cell r="D717" t="str">
            <v>SP8</v>
          </cell>
          <cell r="E717" t="str">
            <v>SP8 - Native breeds at risk supplement</v>
          </cell>
          <cell r="F717" t="str">
            <v>Revenue - Grassland</v>
          </cell>
        </row>
        <row r="718">
          <cell r="D718" t="str">
            <v>SP8</v>
          </cell>
          <cell r="E718" t="str">
            <v>SP8 - Native breeds at risk supplement</v>
          </cell>
          <cell r="F718" t="str">
            <v>Revenue - Grassland</v>
          </cell>
        </row>
        <row r="719">
          <cell r="D719" t="str">
            <v>AHW11</v>
          </cell>
          <cell r="E719" t="str">
            <v>AHW11 - Cultivated areas for arable plants</v>
          </cell>
          <cell r="F719" t="str">
            <v>Revenue - Arable</v>
          </cell>
        </row>
        <row r="720">
          <cell r="D720" t="str">
            <v>SP8</v>
          </cell>
          <cell r="E720" t="str">
            <v>SP8 - Native breeds at risk supplement</v>
          </cell>
          <cell r="F720" t="str">
            <v>Revenue - Grassland</v>
          </cell>
        </row>
        <row r="721">
          <cell r="D721" t="str">
            <v>SP2</v>
          </cell>
          <cell r="E721" t="str">
            <v>SP2 - Raised water level supplement</v>
          </cell>
          <cell r="F721" t="str">
            <v>Revenue - Grassland</v>
          </cell>
        </row>
        <row r="722">
          <cell r="D722" t="str">
            <v>SP2</v>
          </cell>
          <cell r="E722" t="str">
            <v>SP2 - Raised water level supplement</v>
          </cell>
          <cell r="F722" t="str">
            <v>Revenue - Grassland</v>
          </cell>
        </row>
        <row r="723">
          <cell r="D723" t="str">
            <v>OP3</v>
          </cell>
          <cell r="E723" t="str">
            <v>OP3 - Supplementary feeding for farmland birds</v>
          </cell>
          <cell r="F723" t="str">
            <v>Revenue - Options exclusive to Organic land</v>
          </cell>
        </row>
        <row r="724">
          <cell r="D724" t="str">
            <v>OP3</v>
          </cell>
          <cell r="E724" t="str">
            <v>OP3 - Supplementary feeding for farmland birds</v>
          </cell>
          <cell r="F724" t="str">
            <v>Revenue - Options exclusive to Organic land</v>
          </cell>
        </row>
        <row r="725">
          <cell r="D725" t="str">
            <v>OP3</v>
          </cell>
          <cell r="E725" t="str">
            <v>OP3 - Supplementary feeding for farmland birds</v>
          </cell>
          <cell r="F725" t="str">
            <v>Revenue - Options exclusive to Organic land</v>
          </cell>
        </row>
        <row r="726">
          <cell r="D726" t="str">
            <v>OP3</v>
          </cell>
          <cell r="E726" t="str">
            <v>OP3 - Supplementary feeding for farmland birds</v>
          </cell>
          <cell r="F726" t="str">
            <v>Revenue - Options exclusive to Organic land</v>
          </cell>
        </row>
        <row r="727">
          <cell r="D727" t="str">
            <v>FG8</v>
          </cell>
          <cell r="E727" t="str">
            <v>FG8 - Anti-predator temporary electric fencing</v>
          </cell>
          <cell r="F727" t="str">
            <v>Capital - Species</v>
          </cell>
        </row>
        <row r="728">
          <cell r="D728" t="str">
            <v>FG11</v>
          </cell>
          <cell r="E728" t="str">
            <v>FG11 - Deer exclosure plot/unit</v>
          </cell>
          <cell r="F728" t="str">
            <v>Capital - Forestry</v>
          </cell>
        </row>
        <row r="729">
          <cell r="D729" t="str">
            <v>FG8</v>
          </cell>
          <cell r="E729" t="str">
            <v>FG8 - Anti-predator temporary electric fencing</v>
          </cell>
          <cell r="F729" t="str">
            <v>Capital - Species</v>
          </cell>
        </row>
        <row r="730">
          <cell r="D730" t="str">
            <v>BE7</v>
          </cell>
          <cell r="E730" t="str">
            <v>BE7 - Supplement for restorative pruning of fruit trees</v>
          </cell>
          <cell r="F730" t="str">
            <v>Revenue - Boundaries, Trees and Orchards</v>
          </cell>
        </row>
        <row r="731">
          <cell r="D731" t="str">
            <v>BE7</v>
          </cell>
          <cell r="E731" t="str">
            <v>BE7 - Supplement for restorative pruning of fruit trees</v>
          </cell>
          <cell r="F731" t="str">
            <v>Revenue - Boundaries, Trees and Orchards</v>
          </cell>
        </row>
        <row r="732">
          <cell r="D732" t="str">
            <v>FG11</v>
          </cell>
          <cell r="E732" t="str">
            <v>FG11 - Deer exclosure plot/unit</v>
          </cell>
          <cell r="F732" t="str">
            <v>Capital - Forestry</v>
          </cell>
        </row>
        <row r="733">
          <cell r="D733" t="str">
            <v>BE7</v>
          </cell>
          <cell r="E733" t="str">
            <v>BE7 - Supplement for restorative pruning of fruit trees</v>
          </cell>
          <cell r="F733" t="str">
            <v>Revenue - Boundaries, Trees and Orchards</v>
          </cell>
        </row>
        <row r="734">
          <cell r="D734" t="str">
            <v>BE7</v>
          </cell>
          <cell r="E734" t="str">
            <v>BE7 - Supplement for restorative pruning of fruit trees</v>
          </cell>
          <cell r="F734" t="str">
            <v>Revenue - Boundaries, Trees and Orchards</v>
          </cell>
        </row>
        <row r="735">
          <cell r="D735" t="str">
            <v>FG12</v>
          </cell>
          <cell r="E735" t="str">
            <v>FG12 - Wooden Field Gate</v>
          </cell>
          <cell r="F735" t="str">
            <v>Capital - Grassland</v>
          </cell>
        </row>
        <row r="736">
          <cell r="D736" t="str">
            <v>FG12</v>
          </cell>
          <cell r="E736" t="str">
            <v>FG12 - Wooden Field Gate</v>
          </cell>
          <cell r="F736" t="str">
            <v>Capital - Grassland</v>
          </cell>
        </row>
        <row r="737">
          <cell r="D737" t="str">
            <v>WBD7</v>
          </cell>
          <cell r="E737" t="str">
            <v>WBD7 - Remove livestock from grassland during the autumn and winter (SDAs)</v>
          </cell>
          <cell r="F737" t="str">
            <v>Revenue - Improving soil health</v>
          </cell>
        </row>
        <row r="738">
          <cell r="D738" t="str">
            <v>SOH4</v>
          </cell>
          <cell r="E738" t="str">
            <v>SOH4 - Winter cover following maize crops</v>
          </cell>
          <cell r="F738" t="str">
            <v>Revenue - Improving soil health</v>
          </cell>
        </row>
        <row r="739">
          <cell r="D739" t="str">
            <v>ED1</v>
          </cell>
          <cell r="E739" t="str">
            <v>ED1 - Educational Access</v>
          </cell>
          <cell r="F739" t="str">
            <v>Revenue - Educational Access</v>
          </cell>
        </row>
        <row r="740">
          <cell r="D740" t="str">
            <v>ED1</v>
          </cell>
          <cell r="E740" t="str">
            <v>ED1 - Educational Access</v>
          </cell>
          <cell r="F740" t="str">
            <v>Revenue - Educational Access</v>
          </cell>
        </row>
        <row r="741">
          <cell r="D741" t="str">
            <v>ED1</v>
          </cell>
          <cell r="E741" t="str">
            <v>ED1 - Educational Access</v>
          </cell>
          <cell r="F741" t="str">
            <v>Revenue - Educational Access</v>
          </cell>
        </row>
        <row r="742">
          <cell r="D742" t="str">
            <v>ED1</v>
          </cell>
          <cell r="E742" t="str">
            <v>ED1 - Educational Access</v>
          </cell>
          <cell r="F742" t="str">
            <v>Revenue - Educational Access</v>
          </cell>
        </row>
        <row r="743">
          <cell r="D743" t="str">
            <v>CBE7</v>
          </cell>
          <cell r="E743" t="str">
            <v>CBE7 - Supplement: Restorative pruning of fruit trees</v>
          </cell>
          <cell r="F743" t="str">
            <v>Revenue - Orchards</v>
          </cell>
        </row>
        <row r="744">
          <cell r="D744" t="str">
            <v>WD10</v>
          </cell>
          <cell r="E744" t="str">
            <v>WD10 - Management of upland wood pasture and parkland</v>
          </cell>
          <cell r="F744" t="str">
            <v>Revenue - Woodland and Scrub</v>
          </cell>
        </row>
        <row r="745">
          <cell r="D745" t="str">
            <v>OP5</v>
          </cell>
          <cell r="E745" t="str">
            <v>OP5 - Undersown cereal</v>
          </cell>
          <cell r="F745" t="str">
            <v>Revenue - Options exclusive to Organic land</v>
          </cell>
        </row>
        <row r="746">
          <cell r="D746" t="str">
            <v>OP5</v>
          </cell>
          <cell r="E746" t="str">
            <v>OP5 - Undersown cereal</v>
          </cell>
          <cell r="F746" t="str">
            <v>Revenue - Options exclusive to Organic land</v>
          </cell>
        </row>
        <row r="747">
          <cell r="D747" t="str">
            <v>OP5</v>
          </cell>
          <cell r="E747" t="str">
            <v>OP5 - Undersown cereal</v>
          </cell>
          <cell r="F747" t="str">
            <v>Revenue - Options exclusive to Organic land</v>
          </cell>
        </row>
        <row r="748">
          <cell r="D748" t="str">
            <v>OP5</v>
          </cell>
          <cell r="E748" t="str">
            <v>OP5 - Undersown cereal</v>
          </cell>
          <cell r="F748" t="str">
            <v>Revenue - Options exclusive to Organic land</v>
          </cell>
        </row>
        <row r="749">
          <cell r="D749" t="str">
            <v>CWT11</v>
          </cell>
          <cell r="E749" t="str">
            <v>CWT11 - Supplement: Wetland cutting</v>
          </cell>
          <cell r="F749" t="str">
            <v>Revenue - Wetlands</v>
          </cell>
        </row>
        <row r="750">
          <cell r="D750" t="str">
            <v>SW11</v>
          </cell>
          <cell r="E750" t="str">
            <v>SW11 - Riparian management strip</v>
          </cell>
          <cell r="F750" t="str">
            <v>Revenue - Soil and Water</v>
          </cell>
        </row>
        <row r="751">
          <cell r="D751" t="str">
            <v>SW11</v>
          </cell>
          <cell r="E751" t="str">
            <v>SW11 - Riparian management strip</v>
          </cell>
          <cell r="F751" t="str">
            <v>Revenue - Soil and Water</v>
          </cell>
        </row>
        <row r="752">
          <cell r="D752" t="str">
            <v>SW11</v>
          </cell>
          <cell r="E752" t="str">
            <v>SW11 - Riparian management strip</v>
          </cell>
          <cell r="F752" t="str">
            <v>Revenue - Soil and Water</v>
          </cell>
        </row>
        <row r="753">
          <cell r="D753" t="str">
            <v>SW11</v>
          </cell>
          <cell r="E753" t="str">
            <v>SW11 - Riparian management strip</v>
          </cell>
          <cell r="F753" t="str">
            <v>Revenue - Soil and Water</v>
          </cell>
        </row>
        <row r="754">
          <cell r="D754" t="str">
            <v>GS3</v>
          </cell>
          <cell r="E754" t="str">
            <v>GS3 - Ryegrass seed-set as winter food for birds</v>
          </cell>
          <cell r="F754" t="str">
            <v>Revenue - Grassland</v>
          </cell>
        </row>
        <row r="755">
          <cell r="D755" t="str">
            <v>IG2B</v>
          </cell>
          <cell r="E755" t="str">
            <v>IG2B - Additional Payment</v>
          </cell>
          <cell r="F755" t="str">
            <v>Revenue - ELMS</v>
          </cell>
        </row>
        <row r="756">
          <cell r="D756" t="str">
            <v>WT4</v>
          </cell>
          <cell r="E756" t="str">
            <v>WT4 - Management of ponds of High Wildlife value (100 sq m or less)</v>
          </cell>
          <cell r="F756" t="str">
            <v>Revenue - Wetlands</v>
          </cell>
        </row>
        <row r="757">
          <cell r="D757" t="str">
            <v>GS3</v>
          </cell>
          <cell r="E757" t="str">
            <v>GS3 - Ryegrass seed-set as winter food for birds</v>
          </cell>
          <cell r="F757" t="str">
            <v>Revenue - Grassland</v>
          </cell>
        </row>
        <row r="758">
          <cell r="D758" t="str">
            <v>WT4</v>
          </cell>
          <cell r="E758" t="str">
            <v>WT4 - Management of ponds of High Wildlife value (100 sq m or less)</v>
          </cell>
          <cell r="F758" t="str">
            <v>Revenue - Wetlands</v>
          </cell>
        </row>
        <row r="759">
          <cell r="D759" t="str">
            <v>WT4</v>
          </cell>
          <cell r="E759" t="str">
            <v>WT4 - Management of ponds of High Wildlife value (100 sq m or less)</v>
          </cell>
          <cell r="F759" t="str">
            <v>Revenue - Wetlands</v>
          </cell>
        </row>
        <row r="760">
          <cell r="D760" t="str">
            <v>SCR2</v>
          </cell>
          <cell r="E760" t="str">
            <v>SCR2 - Manage scrub and open habitat mosaics</v>
          </cell>
          <cell r="F760" t="str">
            <v>Revenue - Successional areas and scrub</v>
          </cell>
        </row>
        <row r="761">
          <cell r="D761" t="str">
            <v>WT4</v>
          </cell>
          <cell r="E761" t="str">
            <v>WT4 - Management of ponds of High Wildlife value (100 sq m or less)</v>
          </cell>
          <cell r="F761" t="str">
            <v>Revenue - Wetlands</v>
          </cell>
        </row>
        <row r="762">
          <cell r="D762" t="str">
            <v>GS3</v>
          </cell>
          <cell r="E762" t="str">
            <v>GS3 - Ryegrass seed-set as winter food for birds</v>
          </cell>
          <cell r="F762" t="str">
            <v>Revenue - Grassland</v>
          </cell>
        </row>
        <row r="763">
          <cell r="D763" t="str">
            <v>GS3</v>
          </cell>
          <cell r="E763" t="str">
            <v>GS3 - Ryegrass seed-set as winter food for birds</v>
          </cell>
          <cell r="F763" t="str">
            <v>Revenue - Grassland</v>
          </cell>
        </row>
        <row r="764">
          <cell r="D764" t="str">
            <v>AC2</v>
          </cell>
          <cell r="E764" t="str">
            <v>AC2 - Countryside Educational Visits Accreditation Scheme (CEVAS)</v>
          </cell>
          <cell r="F764" t="str">
            <v>Capital - Access and engagement</v>
          </cell>
        </row>
        <row r="765">
          <cell r="D765" t="str">
            <v>AC2</v>
          </cell>
          <cell r="E765" t="str">
            <v>AC2 - Countryside Educational Visits Accreditation Scheme (CEVAS)</v>
          </cell>
          <cell r="F765" t="str">
            <v>Capital - Access and engagement</v>
          </cell>
        </row>
        <row r="766">
          <cell r="D766" t="str">
            <v>CUP16</v>
          </cell>
          <cell r="E766" t="str">
            <v>CUP16 - Supplement: Keep cattle and ponies on moorland (minimum 70% GLU)</v>
          </cell>
          <cell r="F766" t="str">
            <v>Revenue - Moorland</v>
          </cell>
        </row>
        <row r="767">
          <cell r="D767" t="str">
            <v>CWD1</v>
          </cell>
          <cell r="E767" t="str">
            <v>CWD1 - Woodland creation maintenance</v>
          </cell>
          <cell r="F767" t="str">
            <v>Revenue - Woodland and trees</v>
          </cell>
        </row>
        <row r="768">
          <cell r="D768" t="str">
            <v>CHRW2</v>
          </cell>
          <cell r="E768" t="str">
            <v>CHRW2 - Manage hedgerows</v>
          </cell>
          <cell r="F768" t="str">
            <v>Revenue - Boundaries</v>
          </cell>
        </row>
        <row r="769">
          <cell r="D769" t="str">
            <v>WBD5</v>
          </cell>
          <cell r="E769" t="str">
            <v>WBD5 - Manage intensive grassland adjacent to a watercourse</v>
          </cell>
          <cell r="F769" t="str">
            <v>Revenue - Improving soil health</v>
          </cell>
        </row>
        <row r="770">
          <cell r="D770" t="str">
            <v>AHL1</v>
          </cell>
          <cell r="E770" t="str">
            <v>AHL1 - Pollen and nectar flower mix</v>
          </cell>
          <cell r="F770" t="str">
            <v>Revenue - ELMS</v>
          </cell>
        </row>
        <row r="771">
          <cell r="D771" t="str">
            <v>AHW5</v>
          </cell>
          <cell r="E771" t="str">
            <v>AHW5 - Nesting plots for lapwing</v>
          </cell>
          <cell r="F771" t="str">
            <v>Revenue - Arable</v>
          </cell>
        </row>
        <row r="772">
          <cell r="D772" t="str">
            <v>HEF8</v>
          </cell>
          <cell r="E772" t="str">
            <v>HEF8 - Maintain designed or engineered waterbodies</v>
          </cell>
          <cell r="F772" t="str">
            <v>Revenue - Heritage</v>
          </cell>
        </row>
        <row r="773">
          <cell r="D773" t="str">
            <v>IPM3</v>
          </cell>
          <cell r="E773" t="str">
            <v>IPM3 - Companion crop on arable and horticultural land</v>
          </cell>
          <cell r="F773" t="str">
            <v>Revenue - ELMS</v>
          </cell>
        </row>
        <row r="774">
          <cell r="D774" t="str">
            <v>WS1</v>
          </cell>
          <cell r="E774" t="str">
            <v>WS1 - Deer Control and Management</v>
          </cell>
          <cell r="F774" t="str">
            <v>Revenue - Woodland and Scrub</v>
          </cell>
        </row>
        <row r="775">
          <cell r="D775" t="str">
            <v>WS1</v>
          </cell>
          <cell r="E775" t="str">
            <v>WS1 - Deer Control and Management</v>
          </cell>
          <cell r="F775" t="str">
            <v>Revenue - Woodland and Scrub</v>
          </cell>
        </row>
        <row r="776">
          <cell r="D776" t="str">
            <v>OFC4</v>
          </cell>
          <cell r="E776" t="str">
            <v>OFC4 - Organic conversion - horticultural land</v>
          </cell>
          <cell r="F776" t="str">
            <v>Revenue - Organic</v>
          </cell>
        </row>
        <row r="777">
          <cell r="D777" t="str">
            <v>RP6</v>
          </cell>
          <cell r="E777" t="str">
            <v>RP6 - Installation of piped culverts and ditches</v>
          </cell>
          <cell r="F777" t="str">
            <v>Capital - Soil and Water</v>
          </cell>
        </row>
        <row r="778">
          <cell r="D778" t="str">
            <v>RP31</v>
          </cell>
          <cell r="E778" t="str">
            <v>RP31 - Equipment to disrupt tramlines in arable areas</v>
          </cell>
          <cell r="F778" t="str">
            <v>Capital - Soil and Water</v>
          </cell>
        </row>
        <row r="779">
          <cell r="D779" t="str">
            <v>WN2</v>
          </cell>
          <cell r="E779" t="str">
            <v>WN2 - Creation of scrapes and gutters</v>
          </cell>
          <cell r="F779" t="str">
            <v>Capital - Grassland</v>
          </cell>
        </row>
        <row r="780">
          <cell r="D780" t="str">
            <v>PA1</v>
          </cell>
          <cell r="E780" t="str">
            <v>PA1 - Implementation Plan/Unit</v>
          </cell>
          <cell r="F780" t="str">
            <v>Capital - Cross-cutting</v>
          </cell>
        </row>
        <row r="781">
          <cell r="D781" t="str">
            <v>WN2</v>
          </cell>
          <cell r="E781" t="str">
            <v>WN2 - Creation of scrapes and gutters</v>
          </cell>
          <cell r="F781" t="str">
            <v>Capital - Grassland</v>
          </cell>
        </row>
        <row r="782">
          <cell r="D782" t="str">
            <v>RP6</v>
          </cell>
          <cell r="E782" t="str">
            <v>RP6 - Installation of piped culverts and ditches</v>
          </cell>
          <cell r="F782" t="str">
            <v>Capital - Soil and Water</v>
          </cell>
        </row>
        <row r="783">
          <cell r="D783" t="str">
            <v>PA1</v>
          </cell>
          <cell r="E783" t="str">
            <v>PA1 - Implementation Plan/Unit</v>
          </cell>
          <cell r="F783" t="str">
            <v>Capital - Cross-cutting</v>
          </cell>
        </row>
        <row r="784">
          <cell r="D784" t="str">
            <v>IGL1</v>
          </cell>
          <cell r="E784" t="str">
            <v>IGL1 - Take grassland field corners or blocks out of management</v>
          </cell>
          <cell r="F784" t="str">
            <v>Revenue - ELMS</v>
          </cell>
        </row>
        <row r="785">
          <cell r="D785" t="str">
            <v>SPM3</v>
          </cell>
          <cell r="E785" t="str">
            <v>SPM3 - Supplement: Keep native breeds on grazed habitats supplement (more than 80%)</v>
          </cell>
          <cell r="F785" t="str">
            <v>Revenue - Species recovery and management</v>
          </cell>
        </row>
        <row r="786">
          <cell r="D786" t="str">
            <v>FG3</v>
          </cell>
          <cell r="E786" t="str">
            <v>FG3 - Permanent electric fencing</v>
          </cell>
          <cell r="F786" t="str">
            <v>Capital - Soil and Water</v>
          </cell>
        </row>
        <row r="787">
          <cell r="D787" t="str">
            <v>FG15</v>
          </cell>
          <cell r="E787" t="str">
            <v>FG15 - Water Gates</v>
          </cell>
          <cell r="F787" t="str">
            <v>Capital - Soil and Water</v>
          </cell>
        </row>
        <row r="788">
          <cell r="D788" t="str">
            <v>FG15</v>
          </cell>
          <cell r="E788" t="str">
            <v>FG15 - Water Gates</v>
          </cell>
          <cell r="F788" t="str">
            <v>Capital - Soil and Water</v>
          </cell>
        </row>
        <row r="789">
          <cell r="D789" t="str">
            <v>FG3</v>
          </cell>
          <cell r="E789" t="str">
            <v>FG3 - Permanent electric fencing</v>
          </cell>
          <cell r="F789" t="str">
            <v>Capital - Soil and Water</v>
          </cell>
        </row>
        <row r="790">
          <cell r="D790" t="str">
            <v>UP4</v>
          </cell>
          <cell r="E790" t="str">
            <v>UP4 - Management of moorland vegetation supplement</v>
          </cell>
          <cell r="F790" t="str">
            <v>Revenue - Uplands</v>
          </cell>
        </row>
        <row r="791">
          <cell r="D791" t="str">
            <v>GRH10</v>
          </cell>
          <cell r="E791" t="str">
            <v>GRH10 - Supplement: Lenient grazing</v>
          </cell>
          <cell r="F791" t="str">
            <v>Revenue - Grassland</v>
          </cell>
        </row>
        <row r="792">
          <cell r="D792" t="str">
            <v>RP30</v>
          </cell>
          <cell r="E792" t="str">
            <v>RP30 - Floating covers for slurry stores and lagoons</v>
          </cell>
          <cell r="F792" t="str">
            <v>Capital - Soil and Water</v>
          </cell>
        </row>
        <row r="793">
          <cell r="D793" t="str">
            <v>RP30</v>
          </cell>
          <cell r="E793" t="str">
            <v>RP30 - Floating covers for slurry stores and lagoons</v>
          </cell>
          <cell r="F793" t="str">
            <v>Capital - Soil and Water</v>
          </cell>
        </row>
        <row r="794">
          <cell r="D794" t="str">
            <v>UP4</v>
          </cell>
          <cell r="E794" t="str">
            <v>UP4 - Management of moorland vegetation supplement</v>
          </cell>
          <cell r="F794" t="str">
            <v>Revenue - Uplands</v>
          </cell>
        </row>
        <row r="795">
          <cell r="D795" t="str">
            <v>PA4</v>
          </cell>
          <cell r="E795" t="str">
            <v>PA4 - Agro-forestry Plan</v>
          </cell>
          <cell r="F795" t="str">
            <v>Capital - Cross-cutting</v>
          </cell>
        </row>
        <row r="796">
          <cell r="D796" t="str">
            <v>HS6</v>
          </cell>
          <cell r="E796" t="str">
            <v>HS6 - Maintenance of designed/engineered water-bodies</v>
          </cell>
          <cell r="F796" t="str">
            <v>Revenue - Historic Environment and Landscape</v>
          </cell>
        </row>
        <row r="797">
          <cell r="D797" t="str">
            <v>HS6</v>
          </cell>
          <cell r="E797" t="str">
            <v>HS6 - Maintenance of designed/engineered water-bodies</v>
          </cell>
          <cell r="F797" t="str">
            <v>Revenue - Historic Environment and Landscape</v>
          </cell>
        </row>
        <row r="798">
          <cell r="D798" t="str">
            <v>SP5</v>
          </cell>
          <cell r="E798" t="str">
            <v>SP5 - Shepherding supplement</v>
          </cell>
          <cell r="F798" t="str">
            <v>Revenue - Uplands</v>
          </cell>
        </row>
        <row r="799">
          <cell r="D799" t="str">
            <v>SP5</v>
          </cell>
          <cell r="E799" t="str">
            <v>SP5 - Shepherding supplement</v>
          </cell>
          <cell r="F799" t="str">
            <v>Revenue - Uplands</v>
          </cell>
        </row>
        <row r="800">
          <cell r="D800" t="str">
            <v>SP5</v>
          </cell>
          <cell r="E800" t="str">
            <v>SP5 - Shepherding supplement</v>
          </cell>
          <cell r="F800" t="str">
            <v>Revenue - Uplands</v>
          </cell>
        </row>
        <row r="801">
          <cell r="D801" t="str">
            <v>CSW18</v>
          </cell>
          <cell r="E801" t="str">
            <v>CSW18 - Raise water levels in permanent grassland peat soils to near the land surface</v>
          </cell>
          <cell r="F801" t="str">
            <v>Revenue - Lowland Peat</v>
          </cell>
        </row>
        <row r="802">
          <cell r="D802" t="str">
            <v>HS6</v>
          </cell>
          <cell r="E802" t="str">
            <v>HS6 - Maintenance of designed/engineered water-bodies</v>
          </cell>
          <cell r="F802" t="str">
            <v>Revenue - Historic Environment and Landscape</v>
          </cell>
        </row>
        <row r="803">
          <cell r="D803" t="str">
            <v>HS6</v>
          </cell>
          <cell r="E803" t="str">
            <v>HS6 - Maintenance of designed/engineered water-bodies</v>
          </cell>
          <cell r="F803" t="str">
            <v>Revenue - Historic Environment and Landscape</v>
          </cell>
        </row>
        <row r="804">
          <cell r="D804" t="str">
            <v>SP5</v>
          </cell>
          <cell r="E804" t="str">
            <v>SP5 - Shepherding supplement</v>
          </cell>
          <cell r="F804" t="str">
            <v>Revenue - Uplands</v>
          </cell>
        </row>
        <row r="805">
          <cell r="D805" t="str">
            <v>WB3</v>
          </cell>
          <cell r="E805" t="str">
            <v>WB3 - Large Wildlife Box</v>
          </cell>
          <cell r="F805" t="str">
            <v>Capital - Species</v>
          </cell>
        </row>
        <row r="806">
          <cell r="D806" t="str">
            <v>CAGF1</v>
          </cell>
          <cell r="E806" t="str">
            <v>CAGF1 - Maintain high density in-field agroforestry</v>
          </cell>
          <cell r="F806" t="str">
            <v>Revenue - Agroforestry</v>
          </cell>
        </row>
        <row r="807">
          <cell r="D807" t="str">
            <v>WB3</v>
          </cell>
          <cell r="E807" t="str">
            <v>WB3 - Large Wildlife Box</v>
          </cell>
          <cell r="F807" t="str">
            <v>Capital - Species</v>
          </cell>
        </row>
        <row r="808">
          <cell r="D808" t="str">
            <v>RP13</v>
          </cell>
          <cell r="E808" t="str">
            <v>RP13 - Yard - underground drainage pipework</v>
          </cell>
          <cell r="F808" t="str">
            <v>Capital - Soil and Water</v>
          </cell>
        </row>
        <row r="809">
          <cell r="D809" t="str">
            <v>RP13</v>
          </cell>
          <cell r="E809" t="str">
            <v>RP13 - Yard - underground drainage pipework</v>
          </cell>
          <cell r="F809" t="str">
            <v>Capital - Soil and Water</v>
          </cell>
        </row>
        <row r="810">
          <cell r="D810" t="str">
            <v>CSP10</v>
          </cell>
          <cell r="E810" t="str">
            <v>CSP10 - Supplement: Administration of group managed agreements</v>
          </cell>
          <cell r="F810" t="str">
            <v>Revenue - Moorland</v>
          </cell>
        </row>
        <row r="811">
          <cell r="D811" t="str">
            <v>FY2</v>
          </cell>
          <cell r="E811" t="str">
            <v>FY2 - Capital investments to improve access infrastructure to woodlands.</v>
          </cell>
          <cell r="F811" t="str">
            <v>Capital - Forestry</v>
          </cell>
        </row>
        <row r="812">
          <cell r="D812" t="str">
            <v>UP5</v>
          </cell>
          <cell r="E812" t="str">
            <v>UP5 - Moorland re-wetting supplement</v>
          </cell>
          <cell r="F812" t="str">
            <v>Revenue - Uplands</v>
          </cell>
        </row>
        <row r="813">
          <cell r="D813" t="str">
            <v>UP5</v>
          </cell>
          <cell r="E813" t="str">
            <v>UP5 - Moorland re-wetting supplement</v>
          </cell>
          <cell r="F813" t="str">
            <v>Revenue - Uplands</v>
          </cell>
        </row>
        <row r="814">
          <cell r="D814" t="str">
            <v>UP5</v>
          </cell>
          <cell r="E814" t="str">
            <v>UP5 - Moorland re-wetting supplement</v>
          </cell>
          <cell r="F814" t="str">
            <v>Revenue - Uplands</v>
          </cell>
        </row>
        <row r="815">
          <cell r="D815" t="str">
            <v>UP5</v>
          </cell>
          <cell r="E815" t="str">
            <v>UP5 - Moorland re-wetting supplement</v>
          </cell>
          <cell r="F815" t="str">
            <v>Revenue - Uplands</v>
          </cell>
        </row>
        <row r="816">
          <cell r="D816" t="str">
            <v>SW16</v>
          </cell>
          <cell r="E816" t="str">
            <v>SW16 - Flood mitigation on permanent grassland</v>
          </cell>
          <cell r="F816" t="str">
            <v>Revenue - Soil and Water</v>
          </cell>
        </row>
        <row r="817">
          <cell r="D817" t="str">
            <v>WT5</v>
          </cell>
          <cell r="E817" t="str">
            <v>WT5 - Management of ponds of High Wildlife value (more than 100 sq m)</v>
          </cell>
          <cell r="F817" t="str">
            <v>Revenue - Wetlands</v>
          </cell>
        </row>
        <row r="818">
          <cell r="D818" t="str">
            <v>SW16</v>
          </cell>
          <cell r="E818" t="str">
            <v>SW16 - Flood mitigation on permanent grassland</v>
          </cell>
          <cell r="F818" t="str">
            <v>Revenue - Soil and Water</v>
          </cell>
        </row>
        <row r="819">
          <cell r="D819" t="str">
            <v>SW16</v>
          </cell>
          <cell r="E819" t="str">
            <v>SW16 - Flood mitigation on permanent grassland</v>
          </cell>
          <cell r="F819" t="str">
            <v>Revenue - Soil and Water</v>
          </cell>
        </row>
        <row r="820">
          <cell r="D820" t="str">
            <v>WT5</v>
          </cell>
          <cell r="E820" t="str">
            <v>WT5 - Management of ponds of High Wildlife value (more than 100 sq m)</v>
          </cell>
          <cell r="F820" t="str">
            <v>Revenue - Wetlands</v>
          </cell>
        </row>
        <row r="821">
          <cell r="D821" t="str">
            <v>SW16</v>
          </cell>
          <cell r="E821" t="str">
            <v>SW16 - Flood mitigation on permanent grassland</v>
          </cell>
          <cell r="F821" t="str">
            <v>Revenue - Soil and Water</v>
          </cell>
        </row>
        <row r="822">
          <cell r="D822" t="str">
            <v>WT5</v>
          </cell>
          <cell r="E822" t="str">
            <v>WT5 - Management of ponds of High Wildlife value (more than 100 sq m)</v>
          </cell>
          <cell r="F822" t="str">
            <v>Revenue - Wetlands</v>
          </cell>
        </row>
        <row r="823">
          <cell r="D823" t="str">
            <v>WT5</v>
          </cell>
          <cell r="E823" t="str">
            <v>WT5 - Management of ponds of High Wildlife value (more than 100 sq m)</v>
          </cell>
          <cell r="F823" t="str">
            <v>Revenue - Wetlands</v>
          </cell>
        </row>
        <row r="824">
          <cell r="D824" t="str">
            <v>BC4</v>
          </cell>
          <cell r="E824" t="str">
            <v>BC4 - Tree guard (wood post and wire)</v>
          </cell>
          <cell r="F824" t="str">
            <v>Capital - Beavers</v>
          </cell>
        </row>
        <row r="825">
          <cell r="D825" t="str">
            <v>MR3G</v>
          </cell>
          <cell r="E825" t="str">
            <v>MR3G - Moorland and rough grazing</v>
          </cell>
          <cell r="F825" t="str">
            <v>Revenue - ELMS</v>
          </cell>
        </row>
        <row r="826">
          <cell r="D826" t="str">
            <v>BC4</v>
          </cell>
          <cell r="E826" t="str">
            <v>BC4 - Tree guard (wood post and wire)</v>
          </cell>
          <cell r="F826" t="str">
            <v>Capital - Beavers</v>
          </cell>
        </row>
        <row r="827">
          <cell r="D827" t="str">
            <v>BC2</v>
          </cell>
          <cell r="E827" t="str">
            <v>BC2 - In-Stream Culvert Protection</v>
          </cell>
          <cell r="F827" t="str">
            <v>Capital - Beavers</v>
          </cell>
        </row>
        <row r="828">
          <cell r="D828" t="str">
            <v>CAGF3</v>
          </cell>
          <cell r="E828" t="str">
            <v>CAGF3 - Maintain medium density in-field agroforestry </v>
          </cell>
          <cell r="F828" t="str">
            <v>Revenue - Agroforestry</v>
          </cell>
        </row>
        <row r="829">
          <cell r="D829" t="str">
            <v>NUM1</v>
          </cell>
          <cell r="E829" t="str">
            <v>NUM1 - Assess nutrient management and produce a review report</v>
          </cell>
          <cell r="F829" t="str">
            <v>Revenue - ELMS</v>
          </cell>
        </row>
        <row r="830">
          <cell r="D830" t="str">
            <v>AL2A</v>
          </cell>
          <cell r="E830" t="str">
            <v>AL2A - Arable and Horticultural Land</v>
          </cell>
          <cell r="F830" t="str">
            <v>Revenue - ELMS</v>
          </cell>
        </row>
        <row r="831">
          <cell r="D831" t="str">
            <v>AL2A</v>
          </cell>
          <cell r="E831" t="str">
            <v>AL2A - Arable and Horticultural Land</v>
          </cell>
          <cell r="F831" t="str">
            <v>Revenue - ELMS</v>
          </cell>
        </row>
        <row r="832">
          <cell r="D832" t="str">
            <v>CWS5</v>
          </cell>
          <cell r="E832" t="str">
            <v>CWS5 - Supplement: Improve woodland resilience</v>
          </cell>
          <cell r="F832" t="str">
            <v>Revenue - Woodland and trees</v>
          </cell>
        </row>
        <row r="833">
          <cell r="D833" t="str">
            <v>AL2A</v>
          </cell>
          <cell r="E833" t="str">
            <v>AL2A - Arable and Horticultural Land</v>
          </cell>
          <cell r="F833" t="str">
            <v>Revenue - ELMS</v>
          </cell>
        </row>
        <row r="834">
          <cell r="D834" t="str">
            <v>SW5</v>
          </cell>
          <cell r="E834" t="str">
            <v>SW5 - Enhanced management of maize crops</v>
          </cell>
          <cell r="F834" t="str">
            <v>Revenue - Soil and Water</v>
          </cell>
        </row>
        <row r="835">
          <cell r="D835" t="str">
            <v>SW5</v>
          </cell>
          <cell r="E835" t="str">
            <v>SW5 - Enhanced management of maize crops</v>
          </cell>
          <cell r="F835" t="str">
            <v>Revenue - Soil and Water</v>
          </cell>
        </row>
        <row r="836">
          <cell r="D836" t="str">
            <v>SW5</v>
          </cell>
          <cell r="E836" t="str">
            <v>SW5 - Enhanced management of maize crops</v>
          </cell>
          <cell r="F836" t="str">
            <v>Revenue - Soil and Water</v>
          </cell>
        </row>
        <row r="837">
          <cell r="D837" t="str">
            <v>SW5</v>
          </cell>
          <cell r="E837" t="str">
            <v>SW5 - Enhanced management of maize crops</v>
          </cell>
          <cell r="F837" t="str">
            <v>Revenue - Soil and Water</v>
          </cell>
        </row>
        <row r="838">
          <cell r="D838" t="str">
            <v>CNUM2</v>
          </cell>
          <cell r="E838" t="str">
            <v>CNUM2 - Legumes on improved grassland</v>
          </cell>
          <cell r="F838" t="str">
            <v>Revenue - Nutrient management</v>
          </cell>
        </row>
        <row r="839">
          <cell r="D839" t="str">
            <v>CSAM2</v>
          </cell>
          <cell r="E839" t="str">
            <v>CSAM2 - Multi-species winter cover crops</v>
          </cell>
          <cell r="F839" t="str">
            <v>Revenue - Improving soil health</v>
          </cell>
        </row>
        <row r="840">
          <cell r="D840" t="str">
            <v>TE8</v>
          </cell>
          <cell r="E840" t="str">
            <v>TE8 - Tree Guard (wood post and wire)</v>
          </cell>
          <cell r="F840" t="str">
            <v>Capital - Boundaries, Trees and Orchards</v>
          </cell>
        </row>
        <row r="841">
          <cell r="D841" t="str">
            <v>TE8</v>
          </cell>
          <cell r="E841" t="str">
            <v>TE8 - Tree Guard (wood post and wire)</v>
          </cell>
          <cell r="F841" t="str">
            <v>Capital - Boundaries, Trees and Orchards</v>
          </cell>
        </row>
        <row r="842">
          <cell r="D842" t="str">
            <v>HEF6</v>
          </cell>
          <cell r="E842" t="str">
            <v>HEF6 - Manage historic and archaeological features on grassland</v>
          </cell>
          <cell r="F842" t="str">
            <v>Revenue - Heritage</v>
          </cell>
        </row>
        <row r="843">
          <cell r="D843" t="str">
            <v>TE5</v>
          </cell>
          <cell r="E843" t="str">
            <v>TE5 - Woodland Tree Planting - Treeshelter Supplement</v>
          </cell>
          <cell r="F843" t="str">
            <v>Capital - Forestry</v>
          </cell>
        </row>
        <row r="844">
          <cell r="D844" t="str">
            <v>TE5</v>
          </cell>
          <cell r="E844" t="str">
            <v>TE5 - Woodland Tree Planting - Treeshelter Supplement</v>
          </cell>
          <cell r="F844" t="str">
            <v>Capital - Forestry</v>
          </cell>
        </row>
        <row r="845">
          <cell r="D845" t="str">
            <v>CCT4</v>
          </cell>
          <cell r="E845" t="str">
            <v>CCT4 - Create inter-tidal and saline habitat on arable land</v>
          </cell>
          <cell r="F845" t="str">
            <v>Revenue - Coastal habitat</v>
          </cell>
        </row>
        <row r="846">
          <cell r="D846" t="str">
            <v>WN6B</v>
          </cell>
          <cell r="E846" t="str">
            <v>WN6B - Pond Management - restoration - (areas more than 100 sq m)</v>
          </cell>
          <cell r="F846" t="str">
            <v>Capital - Wetlands</v>
          </cell>
        </row>
        <row r="847">
          <cell r="D847" t="str">
            <v>TE4D</v>
          </cell>
          <cell r="E847" t="str">
            <v>TE4D - Woodland Tree Planting - Hedges and clumps</v>
          </cell>
          <cell r="F847" t="str">
            <v>Capital - Forestry</v>
          </cell>
        </row>
        <row r="848">
          <cell r="D848" t="str">
            <v>WN6B</v>
          </cell>
          <cell r="E848" t="str">
            <v>WN6B - Pond Management - restoration - (areas more than 100 sq m)</v>
          </cell>
          <cell r="F848" t="str">
            <v>Capital - Wetlands</v>
          </cell>
        </row>
        <row r="849">
          <cell r="D849" t="str">
            <v>WT6</v>
          </cell>
          <cell r="E849" t="str">
            <v>WT6 - Management of reedbed</v>
          </cell>
          <cell r="F849" t="str">
            <v>Revenue - Wetlands</v>
          </cell>
        </row>
        <row r="850">
          <cell r="D850" t="str">
            <v>WT6</v>
          </cell>
          <cell r="E850" t="str">
            <v>WT6 - Management of reedbed</v>
          </cell>
          <cell r="F850" t="str">
            <v>Revenue - Wetlands</v>
          </cell>
        </row>
        <row r="851">
          <cell r="D851" t="str">
            <v>WT6</v>
          </cell>
          <cell r="E851" t="str">
            <v>WT6 - Management of reedbed</v>
          </cell>
          <cell r="F851" t="str">
            <v>Revenue - Wetlands</v>
          </cell>
        </row>
        <row r="852">
          <cell r="D852" t="str">
            <v>TE4D</v>
          </cell>
          <cell r="E852" t="str">
            <v>TE4D - Woodland Tree Planting - Hedges and clumps</v>
          </cell>
          <cell r="F852" t="str">
            <v>Capital - Forestry</v>
          </cell>
        </row>
        <row r="853">
          <cell r="D853" t="str">
            <v>IPM1</v>
          </cell>
          <cell r="E853" t="str">
            <v>IPM1 - Assess integrated pest management and produce a plan</v>
          </cell>
          <cell r="F853" t="str">
            <v>Revenue - ELMS</v>
          </cell>
        </row>
        <row r="854">
          <cell r="D854" t="str">
            <v>WT6</v>
          </cell>
          <cell r="E854" t="str">
            <v>WT6 - Management of reedbed</v>
          </cell>
          <cell r="F854" t="str">
            <v>Revenue - Wetlands</v>
          </cell>
        </row>
        <row r="855">
          <cell r="D855" t="str">
            <v>IPM4</v>
          </cell>
          <cell r="E855" t="str">
            <v>IPM4 - No use of insecticide, nematicide or acaricide on arable crops and permanent crops</v>
          </cell>
          <cell r="F855" t="str">
            <v>Revenue - ELMS</v>
          </cell>
        </row>
        <row r="856">
          <cell r="D856" t="str">
            <v>WT7</v>
          </cell>
          <cell r="E856" t="str">
            <v>WT7 - Creation of reedbed</v>
          </cell>
          <cell r="F856" t="str">
            <v>Revenue - Wetlands</v>
          </cell>
        </row>
        <row r="857">
          <cell r="D857" t="str">
            <v>WS2</v>
          </cell>
          <cell r="E857" t="str">
            <v>WS2 - Restore and maintain plantations on ancient woodlands sites</v>
          </cell>
          <cell r="F857" t="str">
            <v>Revenue - Woodland and Scrub</v>
          </cell>
        </row>
        <row r="858">
          <cell r="D858" t="str">
            <v>WS2</v>
          </cell>
          <cell r="E858" t="str">
            <v>WS2 - Restore and maintain plantations on ancient woodlands sites</v>
          </cell>
          <cell r="F858" t="str">
            <v>Revenue - Woodland and Scrub</v>
          </cell>
        </row>
        <row r="859">
          <cell r="D859" t="str">
            <v>WT7</v>
          </cell>
          <cell r="E859" t="str">
            <v>WT7 - Creation of reedbed</v>
          </cell>
          <cell r="F859" t="str">
            <v>Revenue - Wetlands</v>
          </cell>
        </row>
        <row r="860">
          <cell r="D860" t="str">
            <v>WT7</v>
          </cell>
          <cell r="E860" t="str">
            <v>WT7 - Creation of reedbed</v>
          </cell>
          <cell r="F860" t="str">
            <v>Revenue - Wetlands</v>
          </cell>
        </row>
        <row r="861">
          <cell r="D861" t="str">
            <v>CWT13</v>
          </cell>
          <cell r="E861" t="str">
            <v>CWT13 - Manage and restore reedbed, fen and wetland mosaics</v>
          </cell>
          <cell r="F861" t="str">
            <v>Revenue - Wetlands</v>
          </cell>
        </row>
        <row r="862">
          <cell r="D862" t="str">
            <v>MPA1</v>
          </cell>
          <cell r="E862" t="str">
            <v>MPA1 - SFI Management Payment</v>
          </cell>
          <cell r="F862" t="str">
            <v>Revenue - ELMS</v>
          </cell>
        </row>
        <row r="863">
          <cell r="D863" t="str">
            <v>PA3</v>
          </cell>
          <cell r="E863" t="str">
            <v>PA3 - Woodland Management plan/per ha</v>
          </cell>
          <cell r="F863" t="str">
            <v>Capital - Forestry</v>
          </cell>
        </row>
        <row r="864">
          <cell r="D864" t="str">
            <v>BFS2</v>
          </cell>
          <cell r="E864" t="str">
            <v>BFS2 - Buffer in-field ponds on arable land</v>
          </cell>
          <cell r="F864" t="str">
            <v>Revenue - Waterbodies</v>
          </cell>
        </row>
        <row r="865">
          <cell r="D865" t="str">
            <v>PA3</v>
          </cell>
          <cell r="E865" t="str">
            <v>PA3 - Woodland Management plan/per ha</v>
          </cell>
          <cell r="F865" t="str">
            <v>Capital - Forestry</v>
          </cell>
        </row>
        <row r="866">
          <cell r="D866" t="str">
            <v>CGS21</v>
          </cell>
          <cell r="E866" t="str">
            <v>CGS21 - Manage grassland for target habitats, species or features</v>
          </cell>
          <cell r="F866" t="str">
            <v>Revenue - Grassland</v>
          </cell>
        </row>
        <row r="867">
          <cell r="D867" t="str">
            <v>UP1</v>
          </cell>
          <cell r="E867" t="str">
            <v>UP1 - Enclosed rough grazing</v>
          </cell>
          <cell r="F867" t="str">
            <v>Revenue - Uplands</v>
          </cell>
        </row>
        <row r="868">
          <cell r="D868" t="str">
            <v>UP1</v>
          </cell>
          <cell r="E868" t="str">
            <v>UP1 - Enclosed rough grazing</v>
          </cell>
          <cell r="F868" t="str">
            <v>Revenue - Uplands</v>
          </cell>
        </row>
        <row r="869">
          <cell r="D869" t="str">
            <v>UP1</v>
          </cell>
          <cell r="E869" t="str">
            <v>UP1 - Enclosed rough grazing</v>
          </cell>
          <cell r="F869" t="str">
            <v>Revenue - Uplands</v>
          </cell>
        </row>
        <row r="870">
          <cell r="D870" t="str">
            <v>AL3A</v>
          </cell>
          <cell r="E870" t="str">
            <v>AL3A - Arable and Horticultural Land</v>
          </cell>
          <cell r="F870" t="str">
            <v>Revenue - ELMS</v>
          </cell>
        </row>
        <row r="871">
          <cell r="D871" t="str">
            <v>UP1</v>
          </cell>
          <cell r="E871" t="str">
            <v>UP1 - Enclosed rough grazing</v>
          </cell>
          <cell r="F871" t="str">
            <v>Revenue - Uplands</v>
          </cell>
        </row>
        <row r="872">
          <cell r="D872" t="str">
            <v>AL3A</v>
          </cell>
          <cell r="E872" t="str">
            <v>AL3A - Arable and Horticultural Land</v>
          </cell>
          <cell r="F872" t="str">
            <v>Revenue - ELMS</v>
          </cell>
        </row>
        <row r="873">
          <cell r="D873" t="str">
            <v>AL3A</v>
          </cell>
          <cell r="E873" t="str">
            <v>AL3A - Arable and Horticultural Land</v>
          </cell>
          <cell r="F873" t="str">
            <v>Revenue - ELMS</v>
          </cell>
        </row>
        <row r="874">
          <cell r="D874" t="str">
            <v>CGS18</v>
          </cell>
          <cell r="E874" t="str">
            <v>CGS18 - Manage species-rich floodplain meadows</v>
          </cell>
          <cell r="F874" t="str">
            <v>Revenue - Grassland</v>
          </cell>
        </row>
        <row r="875">
          <cell r="D875" t="str">
            <v>CCT5</v>
          </cell>
          <cell r="E875" t="str">
            <v>CCT5 - Create inter-tidal and saline habitat by non-intervention</v>
          </cell>
          <cell r="F875" t="str">
            <v>Revenue - Coastal habitat</v>
          </cell>
        </row>
        <row r="876">
          <cell r="D876" t="str">
            <v>GRH8</v>
          </cell>
          <cell r="E876" t="str">
            <v>GRH8 - Supplement: Haymaking (late cut)</v>
          </cell>
          <cell r="F876" t="str">
            <v>Revenue - Grassland</v>
          </cell>
        </row>
        <row r="877">
          <cell r="D877" t="str">
            <v>SW6</v>
          </cell>
          <cell r="E877" t="str">
            <v>SW6 - Winter cover crops</v>
          </cell>
          <cell r="F877" t="str">
            <v>Revenue - Soil and Water</v>
          </cell>
        </row>
        <row r="878">
          <cell r="D878" t="str">
            <v>WT1</v>
          </cell>
          <cell r="E878" t="str">
            <v>WT1 - Buffering in field ponds and ditches in improved grassland</v>
          </cell>
          <cell r="F878" t="str">
            <v>Revenue - Wetlands</v>
          </cell>
        </row>
        <row r="879">
          <cell r="D879" t="str">
            <v>WT1</v>
          </cell>
          <cell r="E879" t="str">
            <v>WT1 - Buffering in field ponds and ditches in improved grassland</v>
          </cell>
          <cell r="F879" t="str">
            <v>Revenue - Wetlands</v>
          </cell>
        </row>
        <row r="880">
          <cell r="D880" t="str">
            <v>SW6</v>
          </cell>
          <cell r="E880" t="str">
            <v>SW6 - Winter cover crops</v>
          </cell>
          <cell r="F880" t="str">
            <v>Revenue - Soil and Water</v>
          </cell>
        </row>
        <row r="881">
          <cell r="D881" t="str">
            <v>CWT15</v>
          </cell>
          <cell r="E881" t="str">
            <v>CWT15 - Manage ponds and bodies of water up to 2ha</v>
          </cell>
          <cell r="F881" t="str">
            <v>Revenue - Lakes/Ponds/Ditches</v>
          </cell>
        </row>
        <row r="882">
          <cell r="D882" t="str">
            <v>SW6</v>
          </cell>
          <cell r="E882" t="str">
            <v>SW6 - Winter cover crops</v>
          </cell>
          <cell r="F882" t="str">
            <v>Revenue - Soil and Water</v>
          </cell>
        </row>
        <row r="883">
          <cell r="D883" t="str">
            <v>SW6</v>
          </cell>
          <cell r="E883" t="str">
            <v>SW6 - Winter cover crops</v>
          </cell>
          <cell r="F883" t="str">
            <v>Revenue - Soil and Water</v>
          </cell>
        </row>
        <row r="884">
          <cell r="D884" t="str">
            <v>WT1</v>
          </cell>
          <cell r="E884" t="str">
            <v>WT1 - Buffering in field ponds and ditches in improved grassland</v>
          </cell>
          <cell r="F884" t="str">
            <v>Revenue - Wetlands</v>
          </cell>
        </row>
        <row r="885">
          <cell r="D885" t="str">
            <v>LV8</v>
          </cell>
          <cell r="E885" t="str">
            <v>LV8 - Pipework for livestock troughs</v>
          </cell>
          <cell r="F885" t="str">
            <v>Capital - Soil and Water</v>
          </cell>
        </row>
        <row r="886">
          <cell r="D886" t="str">
            <v>TE6</v>
          </cell>
          <cell r="E886" t="str">
            <v>TE6 - Tree guard (tube and mesh)</v>
          </cell>
          <cell r="F886" t="str">
            <v>Capital - Boundaries, Trees and Orchards</v>
          </cell>
        </row>
        <row r="887">
          <cell r="D887" t="str">
            <v>LV8</v>
          </cell>
          <cell r="E887" t="str">
            <v>LV8 - Pipework for livestock troughs</v>
          </cell>
          <cell r="F887" t="str">
            <v>Capital - Soil and Water</v>
          </cell>
        </row>
        <row r="888">
          <cell r="D888" t="str">
            <v>TE6</v>
          </cell>
          <cell r="E888" t="str">
            <v>TE6 - Tree guard (tube and mesh)</v>
          </cell>
          <cell r="F888" t="str">
            <v>Capital - Boundaries, Trees and Orchards</v>
          </cell>
        </row>
        <row r="889">
          <cell r="D889" t="str">
            <v>FG2</v>
          </cell>
          <cell r="E889" t="str">
            <v>FG2 - Sheep netting</v>
          </cell>
          <cell r="F889" t="str">
            <v>Capital - Soil and Water</v>
          </cell>
        </row>
        <row r="890">
          <cell r="D890" t="str">
            <v>FG2</v>
          </cell>
          <cell r="E890" t="str">
            <v>FG2 - Sheep netting</v>
          </cell>
          <cell r="F890" t="str">
            <v>Capital - Soil and Water</v>
          </cell>
        </row>
        <row r="891">
          <cell r="D891" t="str">
            <v>BFS4</v>
          </cell>
          <cell r="E891" t="str">
            <v>BFS4 - Protect in-field trees on arable land</v>
          </cell>
          <cell r="F891" t="str">
            <v>Revenue - Arable</v>
          </cell>
        </row>
        <row r="892">
          <cell r="D892" t="str">
            <v>WD7</v>
          </cell>
          <cell r="E892" t="str">
            <v>WD7 - Management of successional areas and scrub</v>
          </cell>
          <cell r="F892" t="str">
            <v>Revenue - Woodland and Scrub</v>
          </cell>
        </row>
        <row r="893">
          <cell r="D893" t="str">
            <v>WD7</v>
          </cell>
          <cell r="E893" t="str">
            <v>WD7 - Management of successional areas and scrub</v>
          </cell>
          <cell r="F893" t="str">
            <v>Revenue - Woodland and Scrub</v>
          </cell>
        </row>
        <row r="894">
          <cell r="D894" t="str">
            <v>WB1C</v>
          </cell>
          <cell r="E894" t="str">
            <v>WB1C - In Field Buffer Strip</v>
          </cell>
          <cell r="F894" t="str">
            <v>Revenue - ELMS</v>
          </cell>
        </row>
        <row r="895">
          <cell r="D895" t="str">
            <v>RP27</v>
          </cell>
          <cell r="E895" t="str">
            <v>RP27 - Sprayer or applicator load and washdown area/sq m</v>
          </cell>
          <cell r="F895" t="str">
            <v>Capital - Soil and Water</v>
          </cell>
        </row>
        <row r="896">
          <cell r="D896" t="str">
            <v>WD7</v>
          </cell>
          <cell r="E896" t="str">
            <v>WD7 - Management of successional areas and scrub</v>
          </cell>
          <cell r="F896" t="str">
            <v>Revenue - Woodland and Scrub</v>
          </cell>
        </row>
        <row r="897">
          <cell r="D897" t="str">
            <v>WB1C</v>
          </cell>
          <cell r="E897" t="str">
            <v>WB1C - In Field Buffer Strip</v>
          </cell>
          <cell r="F897" t="str">
            <v>Revenue - ELMS</v>
          </cell>
        </row>
        <row r="898">
          <cell r="D898" t="str">
            <v>RP27</v>
          </cell>
          <cell r="E898" t="str">
            <v>RP27 - Sprayer or applicator load and washdown area/sq m</v>
          </cell>
          <cell r="F898" t="str">
            <v>Capital - Soil and Water</v>
          </cell>
        </row>
        <row r="899">
          <cell r="D899" t="str">
            <v>WD7</v>
          </cell>
          <cell r="E899" t="str">
            <v>WD7 - Management of successional areas and scrub</v>
          </cell>
          <cell r="F899" t="str">
            <v>Revenue - Woodland and Scrub</v>
          </cell>
        </row>
        <row r="900">
          <cell r="D900" t="str">
            <v>SB1B</v>
          </cell>
          <cell r="E900" t="str">
            <v>SB1B - Scrub Control and Felling Diseased Trees</v>
          </cell>
          <cell r="F900" t="str">
            <v>Capital - Woodland and Scrub</v>
          </cell>
        </row>
        <row r="901">
          <cell r="D901" t="str">
            <v>CUP17</v>
          </cell>
          <cell r="E901" t="str">
            <v>CUP17 - Supplement: Keep cattle and ponies on moorland (100% GLU)</v>
          </cell>
          <cell r="F901" t="str">
            <v>Revenue - Moorland</v>
          </cell>
        </row>
        <row r="902">
          <cell r="D902" t="str">
            <v>SB1B</v>
          </cell>
          <cell r="E902" t="str">
            <v>SB1B - Scrub Control and Felling Diseased Trees</v>
          </cell>
          <cell r="F902" t="str">
            <v>Capital - Woodland and Scrub</v>
          </cell>
        </row>
        <row r="903">
          <cell r="D903" t="str">
            <v>CPAC3</v>
          </cell>
          <cell r="E903" t="str">
            <v>CPAC3 - Bridleway or cycle path access</v>
          </cell>
          <cell r="F903" t="str">
            <v>Revenue - Access</v>
          </cell>
        </row>
        <row r="904">
          <cell r="D904" t="str">
            <v>WBD10</v>
          </cell>
          <cell r="E904" t="str">
            <v>WBD10 - Manage ditches of high environmental value</v>
          </cell>
          <cell r="F904" t="str">
            <v>Revenue - Lakes/Ponds/Ditches</v>
          </cell>
        </row>
        <row r="905">
          <cell r="D905" t="str">
            <v>AB5</v>
          </cell>
          <cell r="E905" t="str">
            <v>AB5 - Nesting Plots for Lapwing</v>
          </cell>
          <cell r="F905" t="str">
            <v>Revenue - Arable</v>
          </cell>
        </row>
        <row r="906">
          <cell r="D906" t="str">
            <v>AB5</v>
          </cell>
          <cell r="E906" t="str">
            <v>AB5 - Nesting Plots for Lapwing</v>
          </cell>
          <cell r="F906" t="str">
            <v>Revenue - Arable</v>
          </cell>
        </row>
        <row r="907">
          <cell r="D907" t="str">
            <v>AB5</v>
          </cell>
          <cell r="E907" t="str">
            <v>AB5 - Nesting Plots for Lapwing</v>
          </cell>
          <cell r="F907" t="str">
            <v>Revenue - Arable</v>
          </cell>
        </row>
        <row r="908">
          <cell r="D908" t="str">
            <v>WT8</v>
          </cell>
          <cell r="E908" t="str">
            <v>WT8 - Management of fen</v>
          </cell>
          <cell r="F908" t="str">
            <v>Revenue - Wetlands</v>
          </cell>
        </row>
        <row r="909">
          <cell r="D909" t="str">
            <v>WT8</v>
          </cell>
          <cell r="E909" t="str">
            <v>WT8 - Management of fen</v>
          </cell>
          <cell r="F909" t="str">
            <v>Revenue - Wetlands</v>
          </cell>
        </row>
        <row r="910">
          <cell r="D910" t="str">
            <v>AB5</v>
          </cell>
          <cell r="E910" t="str">
            <v>AB5 - Nesting Plots for Lapwing</v>
          </cell>
          <cell r="F910" t="str">
            <v>Revenue - Arable</v>
          </cell>
        </row>
        <row r="911">
          <cell r="D911" t="str">
            <v>WT8</v>
          </cell>
          <cell r="E911" t="str">
            <v>WT8 - Management of fen</v>
          </cell>
          <cell r="F911" t="str">
            <v>Revenue - Wetlands</v>
          </cell>
        </row>
        <row r="912">
          <cell r="D912" t="str">
            <v>AB5</v>
          </cell>
          <cell r="E912" t="str">
            <v>AB5 - Nesting Plots for Lapwing</v>
          </cell>
          <cell r="F912" t="str">
            <v>Revenue - Arable</v>
          </cell>
        </row>
        <row r="913">
          <cell r="D913" t="str">
            <v>HS4</v>
          </cell>
          <cell r="E913" t="str">
            <v>HS4 - Scrub control on historic and archaeological features</v>
          </cell>
          <cell r="F913" t="str">
            <v>Revenue - Historic Environment and Landscape</v>
          </cell>
        </row>
        <row r="914">
          <cell r="D914" t="str">
            <v>HS4</v>
          </cell>
          <cell r="E914" t="str">
            <v>HS4 - Scrub control on historic and archaeological features</v>
          </cell>
          <cell r="F914" t="str">
            <v>Revenue - Historic Environment and Landscape</v>
          </cell>
        </row>
        <row r="915">
          <cell r="D915" t="str">
            <v>HS4</v>
          </cell>
          <cell r="E915" t="str">
            <v>HS4 - Scrub control on historic and archaeological features</v>
          </cell>
          <cell r="F915" t="str">
            <v>Revenue - Historic Environment and Landscape</v>
          </cell>
        </row>
        <row r="916">
          <cell r="D916" t="str">
            <v>HS4</v>
          </cell>
          <cell r="E916" t="str">
            <v>HS4 - Scrub control on historic and archaeological features</v>
          </cell>
          <cell r="F916" t="str">
            <v>Revenue - Historic Environment and Landscape</v>
          </cell>
        </row>
        <row r="917">
          <cell r="D917" t="str">
            <v>UP6</v>
          </cell>
          <cell r="E917" t="str">
            <v>UP6 - Upland livestock exclusion supplement</v>
          </cell>
          <cell r="F917" t="str">
            <v>Revenue - Uplands</v>
          </cell>
        </row>
        <row r="918">
          <cell r="D918" t="str">
            <v>AB3</v>
          </cell>
          <cell r="E918" t="str">
            <v>AB3 - Beetle banks</v>
          </cell>
          <cell r="F918" t="str">
            <v>Revenue - Arable</v>
          </cell>
        </row>
        <row r="919">
          <cell r="D919" t="str">
            <v>AB3</v>
          </cell>
          <cell r="E919" t="str">
            <v>AB3 - Beetle banks</v>
          </cell>
          <cell r="F919" t="str">
            <v>Revenue - Arable</v>
          </cell>
        </row>
        <row r="920">
          <cell r="D920" t="str">
            <v>GS1B</v>
          </cell>
          <cell r="E920" t="str">
            <v>GS1B - Additional Payment</v>
          </cell>
          <cell r="F920" t="str">
            <v>Revenue - ELMS</v>
          </cell>
        </row>
        <row r="921">
          <cell r="D921" t="str">
            <v>WN3</v>
          </cell>
          <cell r="E921" t="str">
            <v>WN3 - Ditch, Dyke and Rhine Restoration</v>
          </cell>
          <cell r="F921" t="str">
            <v>Capital - Wetlands</v>
          </cell>
        </row>
        <row r="922">
          <cell r="D922" t="str">
            <v>UP6</v>
          </cell>
          <cell r="E922" t="str">
            <v>UP6 - Upland livestock exclusion supplement</v>
          </cell>
          <cell r="F922" t="str">
            <v>Revenue - Uplands</v>
          </cell>
        </row>
        <row r="923">
          <cell r="D923" t="str">
            <v>AB3</v>
          </cell>
          <cell r="E923" t="str">
            <v>AB3 - Beetle banks</v>
          </cell>
          <cell r="F923" t="str">
            <v>Revenue - Arable</v>
          </cell>
        </row>
        <row r="924">
          <cell r="D924" t="str">
            <v>WN3</v>
          </cell>
          <cell r="E924" t="str">
            <v>WN3 - Ditch, Dyke and Rhine Restoration</v>
          </cell>
          <cell r="F924" t="str">
            <v>Capital - Wetlands</v>
          </cell>
        </row>
        <row r="925">
          <cell r="D925" t="str">
            <v>UP6</v>
          </cell>
          <cell r="E925" t="str">
            <v>UP6 - Upland livestock exclusion supplement</v>
          </cell>
          <cell r="F925" t="str">
            <v>Revenue - Uplands</v>
          </cell>
        </row>
        <row r="926">
          <cell r="D926" t="str">
            <v>AB3</v>
          </cell>
          <cell r="E926" t="str">
            <v>AB3 - Beetle banks</v>
          </cell>
          <cell r="F926" t="str">
            <v>Revenue - Arable</v>
          </cell>
        </row>
        <row r="927">
          <cell r="D927" t="str">
            <v>AB3</v>
          </cell>
          <cell r="E927" t="str">
            <v>AB3 - Beetle banks</v>
          </cell>
          <cell r="F927" t="str">
            <v>Revenue - Arable</v>
          </cell>
        </row>
        <row r="928">
          <cell r="D928" t="str">
            <v>WD3</v>
          </cell>
          <cell r="E928" t="str">
            <v>WD3 - Woodland edges on arable land</v>
          </cell>
          <cell r="F928" t="str">
            <v>Revenue - Woodland and Scrub</v>
          </cell>
        </row>
        <row r="929">
          <cell r="D929" t="str">
            <v>GS16</v>
          </cell>
          <cell r="E929" t="str">
            <v>GS16 - Rush infestation control supplement</v>
          </cell>
          <cell r="F929" t="str">
            <v>Revenue - Grassland</v>
          </cell>
        </row>
        <row r="930">
          <cell r="D930" t="str">
            <v>GS16</v>
          </cell>
          <cell r="E930" t="str">
            <v>GS16 - Rush infestation control supplement</v>
          </cell>
          <cell r="F930" t="str">
            <v>Revenue - Grassland</v>
          </cell>
        </row>
        <row r="931">
          <cell r="D931" t="str">
            <v>WD3</v>
          </cell>
          <cell r="E931" t="str">
            <v>WD3 - Woodland edges on arable land</v>
          </cell>
          <cell r="F931" t="str">
            <v>Revenue - Woodland and Scrub</v>
          </cell>
        </row>
        <row r="932">
          <cell r="D932" t="str">
            <v>WD11</v>
          </cell>
          <cell r="E932" t="str">
            <v>WD11 - Restoration of upland wood pasture and parkland</v>
          </cell>
          <cell r="F932" t="str">
            <v>Revenue - Woodland and Scrub</v>
          </cell>
        </row>
        <row r="933">
          <cell r="D933" t="str">
            <v>WD3</v>
          </cell>
          <cell r="E933" t="str">
            <v>WD3 - Woodland edges on arable land</v>
          </cell>
          <cell r="F933" t="str">
            <v>Revenue - Woodland and Scrub</v>
          </cell>
        </row>
        <row r="934">
          <cell r="D934" t="str">
            <v>WD3</v>
          </cell>
          <cell r="E934" t="str">
            <v>WD3 - Woodland edges on arable land</v>
          </cell>
          <cell r="F934" t="str">
            <v>Revenue - Woodland and Scrub</v>
          </cell>
        </row>
        <row r="935">
          <cell r="D935" t="str">
            <v>OT2</v>
          </cell>
          <cell r="E935" t="str">
            <v>OT2 - Organic Land Management - unimproved permanent grassland</v>
          </cell>
          <cell r="F935" t="str">
            <v>Revenue - Organic maintenance</v>
          </cell>
        </row>
        <row r="936">
          <cell r="D936" t="str">
            <v>WD11</v>
          </cell>
          <cell r="E936" t="str">
            <v>WD11 - Restoration of upland wood pasture and parkland</v>
          </cell>
          <cell r="F936" t="str">
            <v>Revenue - Woodland and Scrub</v>
          </cell>
        </row>
        <row r="937">
          <cell r="D937" t="str">
            <v>OT2</v>
          </cell>
          <cell r="E937" t="str">
            <v>OT2 - Organic Land Management - unimproved permanent grassland</v>
          </cell>
          <cell r="F937" t="str">
            <v>Revenue - Organic maintenance</v>
          </cell>
        </row>
        <row r="938">
          <cell r="D938" t="str">
            <v>CIGL2</v>
          </cell>
          <cell r="E938" t="str">
            <v>CIGL2 - Winter bird food on improved grassland</v>
          </cell>
          <cell r="F938" t="str">
            <v>Revenue - Grassland</v>
          </cell>
        </row>
        <row r="939">
          <cell r="D939" t="str">
            <v>OT2</v>
          </cell>
          <cell r="E939" t="str">
            <v>OT2 - Organic Land Management - unimproved permanent grassland</v>
          </cell>
          <cell r="F939" t="str">
            <v>Revenue - Organic maintenance</v>
          </cell>
        </row>
        <row r="940">
          <cell r="D940" t="str">
            <v>GS16</v>
          </cell>
          <cell r="E940" t="str">
            <v>GS16 - Rush infestation control supplement</v>
          </cell>
          <cell r="F940" t="str">
            <v>Revenue - Grassland</v>
          </cell>
        </row>
        <row r="941">
          <cell r="D941" t="str">
            <v>GS16</v>
          </cell>
          <cell r="E941" t="str">
            <v>GS16 - Rush infestation control supplement</v>
          </cell>
          <cell r="F941" t="str">
            <v>Revenue - Grassland</v>
          </cell>
        </row>
        <row r="942">
          <cell r="D942" t="str">
            <v>GS16</v>
          </cell>
          <cell r="E942" t="str">
            <v>GS16 - Rush infestation control supplement</v>
          </cell>
          <cell r="F942" t="str">
            <v>Revenue - Grassland</v>
          </cell>
        </row>
        <row r="943">
          <cell r="D943" t="str">
            <v>OT2</v>
          </cell>
          <cell r="E943" t="str">
            <v>OT2 - Organic Land Management - unimproved permanent grassland</v>
          </cell>
          <cell r="F943" t="str">
            <v>Revenue - Organic maintenance</v>
          </cell>
        </row>
        <row r="944">
          <cell r="D944" t="str">
            <v>WD3</v>
          </cell>
          <cell r="E944" t="str">
            <v>WD3 - Woodland edges on arable land</v>
          </cell>
          <cell r="F944" t="str">
            <v>Revenue - Woodland and Scrub</v>
          </cell>
        </row>
        <row r="945">
          <cell r="D945" t="str">
            <v>CPAC6</v>
          </cell>
          <cell r="E945" t="str">
            <v>CPAC6 - Upgrading Countryside and Rights of Way for people with reduced mobility</v>
          </cell>
          <cell r="F945" t="str">
            <v>Revenue - Access</v>
          </cell>
        </row>
        <row r="946">
          <cell r="D946" t="str">
            <v>CUP3</v>
          </cell>
          <cell r="E946" t="str">
            <v>CUP3 - General moorland management</v>
          </cell>
          <cell r="F946" t="str">
            <v>Revenue - Moorland</v>
          </cell>
        </row>
        <row r="947">
          <cell r="D947" t="str">
            <v>CPAC4</v>
          </cell>
          <cell r="E947" t="str">
            <v>CPAC4 - Footpath access</v>
          </cell>
          <cell r="F947" t="str">
            <v>Revenue - Access</v>
          </cell>
        </row>
        <row r="948">
          <cell r="D948" t="str">
            <v>FG9</v>
          </cell>
          <cell r="E948" t="str">
            <v>FG9 - Woodland Fencing - Deer</v>
          </cell>
          <cell r="F948" t="str">
            <v>Capital - Forestry</v>
          </cell>
        </row>
        <row r="949">
          <cell r="D949" t="str">
            <v>OFA4</v>
          </cell>
          <cell r="E949" t="str">
            <v>OFA4 - Multi species ley (organic land)</v>
          </cell>
          <cell r="F949" t="str">
            <v>Revenue - Organic</v>
          </cell>
        </row>
        <row r="950">
          <cell r="D950" t="str">
            <v>FG9</v>
          </cell>
          <cell r="E950" t="str">
            <v>FG9 - Woodland Fencing - Deer</v>
          </cell>
          <cell r="F950" t="str">
            <v>Capital - Forestry</v>
          </cell>
        </row>
        <row r="951">
          <cell r="D951" t="str">
            <v>WBD4</v>
          </cell>
          <cell r="E951" t="str">
            <v>WBD4 - Arable reversion to grassland with low fertiliser input</v>
          </cell>
          <cell r="F951" t="str">
            <v>Revenue - Improving soil health</v>
          </cell>
        </row>
        <row r="952">
          <cell r="D952" t="str">
            <v>GS4</v>
          </cell>
          <cell r="E952" t="str">
            <v>GS4 - Legume and herb-rich swards</v>
          </cell>
          <cell r="F952" t="str">
            <v>Revenue - Grassland</v>
          </cell>
        </row>
        <row r="953">
          <cell r="D953" t="str">
            <v>CT7</v>
          </cell>
          <cell r="E953" t="str">
            <v>CT7 - Creation of inter-tidal and saline habitat on intensive grassland</v>
          </cell>
          <cell r="F953" t="str">
            <v>Revenue - Coastal</v>
          </cell>
        </row>
        <row r="954">
          <cell r="D954" t="str">
            <v>GS4</v>
          </cell>
          <cell r="E954" t="str">
            <v>GS4 - Legume and herb-rich swards</v>
          </cell>
          <cell r="F954" t="str">
            <v>Revenue - Grassland</v>
          </cell>
        </row>
        <row r="955">
          <cell r="D955" t="str">
            <v>MOR1A</v>
          </cell>
          <cell r="E955" t="str">
            <v>MOR1A - Assess moorland and produce a written record</v>
          </cell>
          <cell r="F955" t="str">
            <v>Revenue - ELMS</v>
          </cell>
        </row>
        <row r="956">
          <cell r="D956" t="str">
            <v>CT7</v>
          </cell>
          <cell r="E956" t="str">
            <v>CT7 - Creation of inter-tidal and saline habitat on intensive grassland</v>
          </cell>
          <cell r="F956" t="str">
            <v>Revenue - Coastal</v>
          </cell>
        </row>
        <row r="957">
          <cell r="D957" t="str">
            <v>GS4</v>
          </cell>
          <cell r="E957" t="str">
            <v>GS4 - Legume and herb-rich swards</v>
          </cell>
          <cell r="F957" t="str">
            <v>Revenue - Grassland</v>
          </cell>
        </row>
        <row r="958">
          <cell r="D958" t="str">
            <v>SAM1</v>
          </cell>
          <cell r="E958" t="str">
            <v>SAM1 - Assess soil, produce a soil management plan and test soil organic matter</v>
          </cell>
          <cell r="F958" t="str">
            <v>Revenue - ELMS</v>
          </cell>
        </row>
        <row r="959">
          <cell r="D959" t="str">
            <v>PA2</v>
          </cell>
          <cell r="E959" t="str">
            <v>PA2 - Feasibility Study</v>
          </cell>
          <cell r="F959" t="str">
            <v>Capital - Cross-cutting</v>
          </cell>
        </row>
        <row r="960">
          <cell r="D960" t="str">
            <v>CT7</v>
          </cell>
          <cell r="E960" t="str">
            <v>CT7 - Creation of inter-tidal and saline habitat on intensive grassland</v>
          </cell>
          <cell r="F960" t="str">
            <v>Revenue - Coastal</v>
          </cell>
        </row>
        <row r="961">
          <cell r="D961" t="str">
            <v>CWT16A</v>
          </cell>
          <cell r="E961" t="str">
            <v>CWT16A - Manage lakes and bodies of water greater than 2ha</v>
          </cell>
          <cell r="F961" t="str">
            <v>Revenue - Lakes/Ponds/Ditches</v>
          </cell>
        </row>
        <row r="962">
          <cell r="D962" t="str">
            <v>CT4</v>
          </cell>
          <cell r="E962" t="str">
            <v>CT4 - Creation of inter-tidal and saline habitat on arable land</v>
          </cell>
          <cell r="F962" t="str">
            <v>Revenue - Coastal</v>
          </cell>
        </row>
        <row r="963">
          <cell r="D963" t="str">
            <v>CSP6</v>
          </cell>
          <cell r="E963" t="str">
            <v>CSP6 - Supplement: Cattle grazing (non-moorland)</v>
          </cell>
          <cell r="F963" t="str">
            <v>Revenue - Grassland</v>
          </cell>
        </row>
        <row r="964">
          <cell r="D964" t="str">
            <v>CT4</v>
          </cell>
          <cell r="E964" t="str">
            <v>CT4 - Creation of inter-tidal and saline habitat on arable land</v>
          </cell>
          <cell r="F964" t="str">
            <v>Revenue - Coastal</v>
          </cell>
        </row>
        <row r="965">
          <cell r="D965" t="str">
            <v>CT4</v>
          </cell>
          <cell r="E965" t="str">
            <v>CT4 - Creation of inter-tidal and saline habitat on arable land</v>
          </cell>
          <cell r="F965" t="str">
            <v>Revenue - Coastal</v>
          </cell>
        </row>
        <row r="966">
          <cell r="D966" t="str">
            <v>CGS23</v>
          </cell>
          <cell r="E966" t="str">
            <v>CGS23 - Supplement: Haymaking (early cut)</v>
          </cell>
          <cell r="F966" t="str">
            <v>Revenue - Grassland</v>
          </cell>
        </row>
        <row r="967">
          <cell r="D967" t="str">
            <v>CT4</v>
          </cell>
          <cell r="E967" t="str">
            <v>CT4 - Creation of inter-tidal and saline habitat on arable land</v>
          </cell>
          <cell r="F967" t="str">
            <v>Revenue - Coastal</v>
          </cell>
        </row>
        <row r="968">
          <cell r="D968" t="str">
            <v>WD1</v>
          </cell>
          <cell r="E968" t="str">
            <v>WD1 - Woodland creation - maintenance payments</v>
          </cell>
          <cell r="F968" t="str">
            <v>Revenue - Woodland Management</v>
          </cell>
        </row>
        <row r="969">
          <cell r="D969" t="str">
            <v>GS6</v>
          </cell>
          <cell r="E969" t="str">
            <v>GS6 - Management of species-rich grassland</v>
          </cell>
          <cell r="F969" t="str">
            <v>Revenue - Grassland</v>
          </cell>
        </row>
        <row r="970">
          <cell r="D970" t="str">
            <v>WD1</v>
          </cell>
          <cell r="E970" t="str">
            <v>WD1 - Woodland creation - maintenance payments</v>
          </cell>
          <cell r="F970" t="str">
            <v>Revenue - Woodland Management</v>
          </cell>
        </row>
        <row r="971">
          <cell r="D971" t="str">
            <v>CLIG3</v>
          </cell>
          <cell r="E971" t="str">
            <v>CLIG3 - Manage grassland with very low nutrient inputs - outside SDAs or within SDAs</v>
          </cell>
          <cell r="F971" t="str">
            <v>Revenue - Grassland</v>
          </cell>
        </row>
        <row r="972">
          <cell r="D972" t="str">
            <v>WD1</v>
          </cell>
          <cell r="E972" t="str">
            <v>WD1 - Woodland creation - maintenance payments</v>
          </cell>
          <cell r="F972" t="str">
            <v>Revenue - Woodland Management</v>
          </cell>
        </row>
        <row r="973">
          <cell r="D973" t="str">
            <v>GS6</v>
          </cell>
          <cell r="E973" t="str">
            <v>GS6 - Management of species-rich grassland</v>
          </cell>
          <cell r="F973" t="str">
            <v>Revenue - Grassland</v>
          </cell>
        </row>
        <row r="974">
          <cell r="D974" t="str">
            <v>WD1</v>
          </cell>
          <cell r="E974" t="str">
            <v>WD1 - Woodland creation - maintenance payments</v>
          </cell>
          <cell r="F974" t="str">
            <v>Revenue - Woodland Management</v>
          </cell>
        </row>
        <row r="975">
          <cell r="D975" t="str">
            <v>TE13</v>
          </cell>
          <cell r="E975" t="str">
            <v>TE13 - Creation of dead wood habitat on trees</v>
          </cell>
          <cell r="F975" t="str">
            <v>Capital - Woodland and Scrub</v>
          </cell>
        </row>
        <row r="976">
          <cell r="D976" t="str">
            <v>TE13</v>
          </cell>
          <cell r="E976" t="str">
            <v>TE13 - Creation of dead wood habitat on trees</v>
          </cell>
          <cell r="F976" t="str">
            <v>Capital - Woodland and Scrub</v>
          </cell>
        </row>
        <row r="977">
          <cell r="D977" t="str">
            <v>OR4</v>
          </cell>
          <cell r="E977" t="str">
            <v>OR4 - Organic Conversion - Horticulture</v>
          </cell>
          <cell r="F977" t="str">
            <v>Revenue - Organic conversion</v>
          </cell>
        </row>
        <row r="978">
          <cell r="D978" t="str">
            <v>GS2A</v>
          </cell>
          <cell r="E978" t="str">
            <v>GS2A - Improved Grassland Soils</v>
          </cell>
          <cell r="F978" t="str">
            <v>Revenue - ELMS</v>
          </cell>
        </row>
        <row r="979">
          <cell r="D979" t="str">
            <v>OR4</v>
          </cell>
          <cell r="E979" t="str">
            <v>OR4 - Organic Conversion - Horticulture</v>
          </cell>
          <cell r="F979" t="str">
            <v>Revenue - Organic conversion</v>
          </cell>
        </row>
        <row r="980">
          <cell r="D980" t="str">
            <v>CUP9</v>
          </cell>
          <cell r="E980" t="str">
            <v>CUP9 - Low livestock grazing on moorland</v>
          </cell>
          <cell r="F980" t="str">
            <v>Revenue - Moorland</v>
          </cell>
        </row>
        <row r="981">
          <cell r="D981" t="str">
            <v>OR4</v>
          </cell>
          <cell r="E981" t="str">
            <v>OR4 - Organic Conversion - Horticulture</v>
          </cell>
          <cell r="F981" t="str">
            <v>Revenue - Organic conversion</v>
          </cell>
        </row>
        <row r="982">
          <cell r="D982" t="str">
            <v>GS2A</v>
          </cell>
          <cell r="E982" t="str">
            <v>GS2A - Improved Grassland Soils</v>
          </cell>
          <cell r="F982" t="str">
            <v>Revenue - ELMS</v>
          </cell>
        </row>
        <row r="983">
          <cell r="D983" t="str">
            <v>OR4</v>
          </cell>
          <cell r="E983" t="str">
            <v>OR4 - Organic Conversion - Horticulture</v>
          </cell>
          <cell r="F983" t="str">
            <v>Revenue - Organic conversion</v>
          </cell>
        </row>
        <row r="984">
          <cell r="D984" t="str">
            <v>AB16</v>
          </cell>
          <cell r="E984" t="str">
            <v>AB16 - Autumn Sown BumbleBird Mix</v>
          </cell>
          <cell r="F984" t="str">
            <v>Revenue - Arable</v>
          </cell>
        </row>
        <row r="985">
          <cell r="D985" t="str">
            <v>AB16</v>
          </cell>
          <cell r="E985" t="str">
            <v>AB16 - Autumn Sown BumbleBird Mix</v>
          </cell>
          <cell r="F985" t="str">
            <v>Revenue - Arable</v>
          </cell>
        </row>
        <row r="986">
          <cell r="D986" t="str">
            <v>AB16</v>
          </cell>
          <cell r="E986" t="str">
            <v>AB16 - Autumn Sown BumbleBird Mix</v>
          </cell>
          <cell r="F986" t="str">
            <v>Revenue - Arable</v>
          </cell>
        </row>
        <row r="987">
          <cell r="D987" t="str">
            <v>AB16</v>
          </cell>
          <cell r="E987" t="str">
            <v>AB16 - Autumn Sown BumbleBird Mix</v>
          </cell>
          <cell r="F987" t="str">
            <v>Revenue - Arable</v>
          </cell>
        </row>
        <row r="988">
          <cell r="D988" t="str">
            <v>SB1A</v>
          </cell>
          <cell r="E988" t="str">
            <v>SB1A - Scrub Control and Felling Diseased Trees</v>
          </cell>
          <cell r="F988" t="str">
            <v>Capital - Woodland and Scrub</v>
          </cell>
        </row>
        <row r="989">
          <cell r="D989" t="str">
            <v>AB16</v>
          </cell>
          <cell r="E989" t="str">
            <v>AB16 - Autumn Sown BumbleBird Mix</v>
          </cell>
          <cell r="F989" t="str">
            <v>Revenue - Arable</v>
          </cell>
        </row>
        <row r="990">
          <cell r="D990" t="str">
            <v>NUM2</v>
          </cell>
          <cell r="E990" t="str">
            <v>NUM2 - Legumes on improved grassland</v>
          </cell>
          <cell r="F990" t="str">
            <v>Revenue - ELMS</v>
          </cell>
        </row>
        <row r="991">
          <cell r="D991" t="str">
            <v>SB1A</v>
          </cell>
          <cell r="E991" t="str">
            <v>SB1A - Scrub Control and Felling Diseased Trees</v>
          </cell>
          <cell r="F991" t="str">
            <v>Capital - Woodland and Scrub</v>
          </cell>
        </row>
        <row r="992">
          <cell r="D992" t="str">
            <v>UPL2</v>
          </cell>
          <cell r="E992" t="str">
            <v>UPL2 - Low livestock grazing on moorland</v>
          </cell>
          <cell r="F992" t="str">
            <v>Revenue - Moorland</v>
          </cell>
        </row>
        <row r="993">
          <cell r="D993" t="str">
            <v>IPM2</v>
          </cell>
          <cell r="E993" t="str">
            <v>IPM2 - Flower-rich grass margins, blocks, or in-field strips</v>
          </cell>
          <cell r="F993" t="str">
            <v>Revenue - ELMS</v>
          </cell>
        </row>
        <row r="994">
          <cell r="D994" t="str">
            <v>SOH3</v>
          </cell>
          <cell r="E994" t="str">
            <v>SOH3 - Multi-species summer-sown cover crop</v>
          </cell>
          <cell r="F994" t="str">
            <v>Revenue - Improving soil health</v>
          </cell>
        </row>
        <row r="995">
          <cell r="D995" t="str">
            <v>RP11</v>
          </cell>
          <cell r="E995" t="str">
            <v>RP11 - Swales</v>
          </cell>
          <cell r="F995" t="str">
            <v>Capital - Soil and Water</v>
          </cell>
        </row>
        <row r="996">
          <cell r="D996" t="str">
            <v>RP11</v>
          </cell>
          <cell r="E996" t="str">
            <v>RP11 - Swales</v>
          </cell>
          <cell r="F996" t="str">
            <v>Capital - Soil and Water</v>
          </cell>
        </row>
        <row r="997">
          <cell r="D997" t="str">
            <v>RP3</v>
          </cell>
          <cell r="E997" t="str">
            <v>RP3 - Watercourse crossing/unit</v>
          </cell>
          <cell r="F997" t="str">
            <v>Capital - Soil and Water</v>
          </cell>
        </row>
        <row r="998">
          <cell r="D998" t="str">
            <v>CGS24</v>
          </cell>
          <cell r="E998" t="str">
            <v>CGS24 - Supplement: Haymaking (late cut)</v>
          </cell>
          <cell r="F998" t="str">
            <v>Revenue - Grassland</v>
          </cell>
        </row>
        <row r="999">
          <cell r="D999" t="str">
            <v>RP3</v>
          </cell>
          <cell r="E999" t="str">
            <v>RP3 - Watercourse crossing/unit</v>
          </cell>
          <cell r="F999" t="str">
            <v>Capital - Soil and Water</v>
          </cell>
        </row>
        <row r="1000">
          <cell r="D1000" t="str">
            <v>FY3</v>
          </cell>
          <cell r="E1000" t="str">
            <v>FY3 - Squirrel Traps and Maintenance</v>
          </cell>
          <cell r="F1000" t="str">
            <v>Capital - Forestry</v>
          </cell>
        </row>
        <row r="1001">
          <cell r="D1001" t="str">
            <v>IGL2</v>
          </cell>
          <cell r="E1001" t="str">
            <v>IGL2 - Winter bird food on improved grassland</v>
          </cell>
          <cell r="F1001" t="str">
            <v>Revenue - ELMS</v>
          </cell>
        </row>
        <row r="1002">
          <cell r="D1002" t="str">
            <v>OR3</v>
          </cell>
          <cell r="E1002" t="str">
            <v>OR3 - Organic conversion - rotational land</v>
          </cell>
          <cell r="F1002" t="str">
            <v>Revenue - Organic conversion</v>
          </cell>
        </row>
        <row r="1003">
          <cell r="D1003" t="str">
            <v>OR3</v>
          </cell>
          <cell r="E1003" t="str">
            <v>OR3 - Organic conversion - rotational land</v>
          </cell>
          <cell r="F1003" t="str">
            <v>Revenue - Organic conversion</v>
          </cell>
        </row>
        <row r="1004">
          <cell r="D1004" t="str">
            <v>OR3</v>
          </cell>
          <cell r="E1004" t="str">
            <v>OR3 - Organic conversion - rotational land</v>
          </cell>
          <cell r="F1004" t="str">
            <v>Revenue - Organic conversion</v>
          </cell>
        </row>
        <row r="1005">
          <cell r="D1005" t="str">
            <v>CNUM1</v>
          </cell>
          <cell r="E1005" t="str">
            <v>CNUM1 - Assess nutrient management and produce a review report</v>
          </cell>
          <cell r="F1005" t="str">
            <v>Revenue - Nutrient management</v>
          </cell>
        </row>
        <row r="1006">
          <cell r="D1006" t="str">
            <v>OR3</v>
          </cell>
          <cell r="E1006" t="str">
            <v>OR3 - Organic conversion - rotational land</v>
          </cell>
          <cell r="F1006" t="str">
            <v>Revenue - Organic conversion</v>
          </cell>
        </row>
        <row r="1007">
          <cell r="D1007" t="str">
            <v>CAHL2</v>
          </cell>
          <cell r="E1007" t="str">
            <v>CAHL2 - Winter bird food on arable and horticultural land</v>
          </cell>
          <cell r="F1007" t="str">
            <v>Revenue - Arable</v>
          </cell>
        </row>
        <row r="1008">
          <cell r="D1008" t="str">
            <v>BN14</v>
          </cell>
          <cell r="E1008" t="str">
            <v>BN14 - Stone wall supplement - Stone from quarry</v>
          </cell>
          <cell r="F1008" t="str">
            <v>Capital - Boundaries, Trees and Orchards</v>
          </cell>
        </row>
        <row r="1009">
          <cell r="D1009" t="str">
            <v>CHRW4</v>
          </cell>
          <cell r="E1009" t="str">
            <v>CHRW4 - Manage hedgerows (5 Years)</v>
          </cell>
          <cell r="F1009" t="str">
            <v>Revenue - Boundaries</v>
          </cell>
        </row>
        <row r="1010">
          <cell r="D1010" t="str">
            <v>OFC1</v>
          </cell>
          <cell r="E1010" t="str">
            <v>OFC1 - Organic conversion - improved permanent grassland</v>
          </cell>
          <cell r="F1010" t="str">
            <v>Revenue - Organic</v>
          </cell>
        </row>
        <row r="1011">
          <cell r="D1011" t="str">
            <v>WN6A</v>
          </cell>
          <cell r="E1011" t="str">
            <v>WN6A - Pond Management  - creation - (areas more than 100 sq m)</v>
          </cell>
          <cell r="F1011" t="str">
            <v>Capital - Wetlands</v>
          </cell>
        </row>
        <row r="1012">
          <cell r="D1012" t="str">
            <v>WN6A</v>
          </cell>
          <cell r="E1012" t="str">
            <v>WN6A - Pond Management  - creation - (areas more than 100 sq m)</v>
          </cell>
          <cell r="F1012" t="str">
            <v>Capital - Wetlands</v>
          </cell>
        </row>
        <row r="1013">
          <cell r="D1013" t="str">
            <v>BN14</v>
          </cell>
          <cell r="E1013" t="str">
            <v>BN14 - Stone wall supplement - Stone from quarry</v>
          </cell>
          <cell r="F1013" t="str">
            <v>Capital - Boundaries, Trees and Orchards</v>
          </cell>
        </row>
        <row r="1014">
          <cell r="D1014" t="str">
            <v>GS14</v>
          </cell>
          <cell r="E1014" t="str">
            <v>GS14 - Creation of grassland for target features</v>
          </cell>
          <cell r="F1014" t="str">
            <v>Revenue - Grassland</v>
          </cell>
        </row>
        <row r="1015">
          <cell r="D1015" t="str">
            <v>GS14</v>
          </cell>
          <cell r="E1015" t="str">
            <v>GS14 - Creation of grassland for target features</v>
          </cell>
          <cell r="F1015" t="str">
            <v>Revenue - Grassland</v>
          </cell>
        </row>
        <row r="1016">
          <cell r="D1016" t="str">
            <v>CCT10</v>
          </cell>
          <cell r="E1016" t="str">
            <v>CCT10 - Manage and restore maritime cliffs and slopes</v>
          </cell>
          <cell r="F1016" t="str">
            <v>Revenue - Coastal habitat</v>
          </cell>
        </row>
        <row r="1017">
          <cell r="D1017" t="str">
            <v>GS1C</v>
          </cell>
          <cell r="E1017" t="str">
            <v>GS1C - Additional Payment</v>
          </cell>
          <cell r="F1017" t="str">
            <v>Revenue - ELMS</v>
          </cell>
        </row>
        <row r="1018">
          <cell r="D1018" t="str">
            <v>GS14</v>
          </cell>
          <cell r="E1018" t="str">
            <v>GS14 - Creation of grassland for target features</v>
          </cell>
          <cell r="F1018" t="str">
            <v>Revenue - Grassland</v>
          </cell>
        </row>
        <row r="1019">
          <cell r="D1019" t="str">
            <v>GS14</v>
          </cell>
          <cell r="E1019" t="str">
            <v>GS14 - Creation of grassland for target features</v>
          </cell>
          <cell r="F1019" t="str">
            <v>Revenue - Grassland</v>
          </cell>
        </row>
        <row r="1020">
          <cell r="D1020" t="str">
            <v>CSW8</v>
          </cell>
          <cell r="E1020" t="str">
            <v>CSW8 - Manage intensive grassland adjacent to a watercourse</v>
          </cell>
          <cell r="F1020" t="str">
            <v>Revenue - Improving soil health</v>
          </cell>
        </row>
        <row r="1021">
          <cell r="D1021" t="str">
            <v>AF3</v>
          </cell>
          <cell r="E1021" t="str">
            <v>AF3 - Supplement: Species Diversity Bonus</v>
          </cell>
          <cell r="F1021" t="str">
            <v>Capital - Boundaries, Trees and Orchards</v>
          </cell>
        </row>
        <row r="1022">
          <cell r="D1022" t="str">
            <v>GS2</v>
          </cell>
          <cell r="E1022" t="str">
            <v>GS2 - Permanent grassland with very low inputs (outside SDAs)</v>
          </cell>
          <cell r="F1022" t="str">
            <v>Revenue - Grassland</v>
          </cell>
        </row>
        <row r="1023">
          <cell r="D1023" t="str">
            <v>GS2</v>
          </cell>
          <cell r="E1023" t="str">
            <v>GS2 - Permanent grassland with very low inputs (outside SDAs)</v>
          </cell>
          <cell r="F1023" t="str">
            <v>Revenue - Grassland</v>
          </cell>
        </row>
        <row r="1024">
          <cell r="D1024" t="str">
            <v>WD12</v>
          </cell>
          <cell r="E1024" t="str">
            <v>WD12 - Creation of upland wood pasture</v>
          </cell>
          <cell r="F1024" t="str">
            <v>Revenue - Woodland and Scrub</v>
          </cell>
        </row>
        <row r="1025">
          <cell r="D1025" t="str">
            <v>GS2</v>
          </cell>
          <cell r="E1025" t="str">
            <v>GS2 - Permanent grassland with very low inputs (outside SDAs)</v>
          </cell>
          <cell r="F1025" t="str">
            <v>Revenue - Grassland</v>
          </cell>
        </row>
        <row r="1026">
          <cell r="D1026" t="str">
            <v>WD12</v>
          </cell>
          <cell r="E1026" t="str">
            <v>WD12 - Creation of upland wood pasture</v>
          </cell>
          <cell r="F1026" t="str">
            <v>Revenue - Woodland and Scrub</v>
          </cell>
        </row>
        <row r="1027">
          <cell r="D1027" t="str">
            <v>SAM3</v>
          </cell>
          <cell r="E1027" t="str">
            <v>SAM3 - Establish and maintain Herbal leys</v>
          </cell>
          <cell r="F1027" t="str">
            <v>Revenue - ELMS</v>
          </cell>
        </row>
        <row r="1028">
          <cell r="D1028" t="str">
            <v>AB13</v>
          </cell>
          <cell r="E1028" t="str">
            <v>AB13 - Brassica fodder crop</v>
          </cell>
          <cell r="F1028" t="str">
            <v>Revenue - Arable</v>
          </cell>
        </row>
        <row r="1029">
          <cell r="D1029" t="str">
            <v>GS10</v>
          </cell>
          <cell r="E1029" t="str">
            <v>GS10 - Management of wet grassland for wintering waders and wildfowl</v>
          </cell>
          <cell r="F1029" t="str">
            <v>Revenue - Grassland</v>
          </cell>
        </row>
        <row r="1030">
          <cell r="D1030" t="str">
            <v>GS10</v>
          </cell>
          <cell r="E1030" t="str">
            <v>GS10 - Management of wet grassland for wintering waders and wildfowl</v>
          </cell>
          <cell r="F1030" t="str">
            <v>Revenue - Grassland</v>
          </cell>
        </row>
        <row r="1031">
          <cell r="D1031" t="str">
            <v>GS10</v>
          </cell>
          <cell r="E1031" t="str">
            <v>GS10 - Management of wet grassland for wintering waders and wildfowl</v>
          </cell>
          <cell r="F1031" t="str">
            <v>Revenue - Grassland</v>
          </cell>
        </row>
        <row r="1032">
          <cell r="D1032" t="str">
            <v>GS10</v>
          </cell>
          <cell r="E1032" t="str">
            <v>GS10 - Management of wet grassland for wintering waders and wildfowl</v>
          </cell>
          <cell r="F1032" t="str">
            <v>Revenue - Grassland</v>
          </cell>
        </row>
        <row r="1033">
          <cell r="D1033" t="str">
            <v>CSW7</v>
          </cell>
          <cell r="E1033" t="str">
            <v>CSW7 - Arable reversion to grassland with low fertiliser input</v>
          </cell>
          <cell r="F1033" t="str">
            <v>Revenue - Improving soil health</v>
          </cell>
        </row>
        <row r="1034">
          <cell r="D1034" t="str">
            <v>RP2</v>
          </cell>
          <cell r="E1034" t="str">
            <v>RP2 - Gateway relocation</v>
          </cell>
          <cell r="F1034" t="str">
            <v>Capital - Soil and Water</v>
          </cell>
        </row>
        <row r="1035">
          <cell r="D1035" t="str">
            <v>HE1</v>
          </cell>
          <cell r="E1035" t="str">
            <v>HE1 - Historic and archaeological feature protection.</v>
          </cell>
          <cell r="F1035" t="str">
            <v>Capital - Historic Environment and Landscape</v>
          </cell>
        </row>
        <row r="1036">
          <cell r="D1036" t="str">
            <v>CBE5</v>
          </cell>
          <cell r="E1036" t="str">
            <v>CBE5 - Create traditional orchards</v>
          </cell>
          <cell r="F1036" t="str">
            <v>Revenue - Orchards</v>
          </cell>
        </row>
        <row r="1037">
          <cell r="D1037" t="str">
            <v>RP2</v>
          </cell>
          <cell r="E1037" t="str">
            <v>RP2 - Gateway relocation</v>
          </cell>
          <cell r="F1037" t="str">
            <v>Capital - Soil and Water</v>
          </cell>
        </row>
        <row r="1038">
          <cell r="D1038" t="str">
            <v>RP19</v>
          </cell>
          <cell r="E1038" t="str">
            <v>RP19 - First-flush rainwater diverters/downpipe filters</v>
          </cell>
          <cell r="F1038" t="str">
            <v>Capital - Soil and Water</v>
          </cell>
        </row>
        <row r="1039">
          <cell r="D1039" t="str">
            <v>CGS19</v>
          </cell>
          <cell r="E1039" t="str">
            <v>CGS19 - Manage wet grassland for wintering waders and wildfowl</v>
          </cell>
          <cell r="F1039" t="str">
            <v>Revenue - Grassland</v>
          </cell>
        </row>
        <row r="1040">
          <cell r="D1040" t="str">
            <v>RP19</v>
          </cell>
          <cell r="E1040" t="str">
            <v>RP19 - First-flush rainwater diverters/downpipe filters</v>
          </cell>
          <cell r="F1040" t="str">
            <v>Capital - Soil and Water</v>
          </cell>
        </row>
        <row r="1041">
          <cell r="D1041" t="str">
            <v>CSP2</v>
          </cell>
          <cell r="E1041" t="str">
            <v>CSP2 - Supplement: Rewetting</v>
          </cell>
          <cell r="F1041" t="str">
            <v>Revenue - Wetlands</v>
          </cell>
        </row>
        <row r="1042">
          <cell r="D1042" t="str">
            <v>BN8</v>
          </cell>
          <cell r="E1042" t="str">
            <v>BN8 - Hedgerow Supplement - Casting Up</v>
          </cell>
          <cell r="F1042" t="str">
            <v>Capital - Boundaries, Trees and Orchards</v>
          </cell>
        </row>
        <row r="1043">
          <cell r="D1043" t="str">
            <v>WD6</v>
          </cell>
          <cell r="E1043" t="str">
            <v>WD6 - Creation of wood pasture</v>
          </cell>
          <cell r="F1043" t="str">
            <v>Revenue - Woodland and Scrub</v>
          </cell>
        </row>
        <row r="1044">
          <cell r="D1044" t="str">
            <v>WD6</v>
          </cell>
          <cell r="E1044" t="str">
            <v>WD6 - Creation of wood pasture</v>
          </cell>
          <cell r="F1044" t="str">
            <v>Revenue - Woodland and Scrub</v>
          </cell>
        </row>
        <row r="1045">
          <cell r="D1045" t="str">
            <v>BN8</v>
          </cell>
          <cell r="E1045" t="str">
            <v>BN8 - Hedgerow Supplement - Casting Up</v>
          </cell>
          <cell r="F1045" t="str">
            <v>Capital - Boundaries, Trees and Orchards</v>
          </cell>
        </row>
        <row r="1046">
          <cell r="D1046" t="str">
            <v>CPAC5</v>
          </cell>
          <cell r="E1046" t="str">
            <v>CPAC5 - Upgrading Countryside and Rights of Way for cyclists and horse riders</v>
          </cell>
          <cell r="F1046" t="str">
            <v>Revenue - Access</v>
          </cell>
        </row>
        <row r="1047">
          <cell r="D1047" t="str">
            <v>WD6</v>
          </cell>
          <cell r="E1047" t="str">
            <v>WD6 - Creation of wood pasture</v>
          </cell>
          <cell r="F1047" t="str">
            <v>Revenue - Woodland and Scrub</v>
          </cell>
        </row>
        <row r="1048">
          <cell r="D1048" t="str">
            <v>LH1</v>
          </cell>
          <cell r="E1048" t="str">
            <v>LH1 - Management of lowland heathland</v>
          </cell>
          <cell r="F1048" t="str">
            <v>Revenue - Lowland Heathland</v>
          </cell>
        </row>
        <row r="1049">
          <cell r="D1049" t="str">
            <v>TE11B</v>
          </cell>
          <cell r="E1049" t="str">
            <v>TE11B - Tree surgery</v>
          </cell>
          <cell r="F1049" t="str">
            <v>Capital - Woodland and Scrub</v>
          </cell>
        </row>
        <row r="1050">
          <cell r="D1050" t="str">
            <v>UPL5</v>
          </cell>
          <cell r="E1050" t="str">
            <v>UPL5 - Supplement: Keep cattle and ponies on moorland (minimum 70% GLU)</v>
          </cell>
          <cell r="F1050" t="str">
            <v>Revenue - Moorland</v>
          </cell>
        </row>
        <row r="1051">
          <cell r="D1051" t="str">
            <v>PA6</v>
          </cell>
          <cell r="E1051" t="str">
            <v>PA6 - Wildfire Management Plan</v>
          </cell>
          <cell r="F1051" t="str">
            <v>Capital - Cross-cutting</v>
          </cell>
        </row>
        <row r="1052">
          <cell r="D1052" t="str">
            <v>LH1</v>
          </cell>
          <cell r="E1052" t="str">
            <v>LH1 - Management of lowland heathland</v>
          </cell>
          <cell r="F1052" t="str">
            <v>Revenue - Lowland Heathland</v>
          </cell>
        </row>
        <row r="1053">
          <cell r="D1053" t="str">
            <v>LH1</v>
          </cell>
          <cell r="E1053" t="str">
            <v>LH1 - Management of lowland heathland</v>
          </cell>
          <cell r="F1053" t="str">
            <v>Revenue - Lowland Heathland</v>
          </cell>
        </row>
        <row r="1054">
          <cell r="D1054" t="str">
            <v>LH1</v>
          </cell>
          <cell r="E1054" t="str">
            <v>LH1 - Management of lowland heathland</v>
          </cell>
          <cell r="F1054" t="str">
            <v>Revenue - Lowland Heathland</v>
          </cell>
        </row>
        <row r="1055">
          <cell r="D1055" t="str">
            <v>TE11B</v>
          </cell>
          <cell r="E1055" t="str">
            <v>TE11B - Tree surgery</v>
          </cell>
          <cell r="F1055" t="str">
            <v>Capital - Woodland and Scrub</v>
          </cell>
        </row>
        <row r="1056">
          <cell r="D1056" t="str">
            <v>OFM1</v>
          </cell>
          <cell r="E1056" t="str">
            <v>OFM1 - Organic land management - improved permanent grassland</v>
          </cell>
          <cell r="F1056" t="str">
            <v>Revenue - Organic</v>
          </cell>
        </row>
        <row r="1057">
          <cell r="D1057" t="str">
            <v>NUM3</v>
          </cell>
          <cell r="E1057" t="str">
            <v>NUM3 - Legume fallow</v>
          </cell>
          <cell r="F1057" t="str">
            <v>Revenue - ELMS</v>
          </cell>
        </row>
        <row r="1058">
          <cell r="D1058" t="str">
            <v>MPAY1</v>
          </cell>
          <cell r="E1058" t="str">
            <v>MPAY1 - SFI Management Payment</v>
          </cell>
          <cell r="F1058" t="str">
            <v>Revenue - Grassland</v>
          </cell>
        </row>
        <row r="1059">
          <cell r="D1059" t="str">
            <v>SPM4</v>
          </cell>
          <cell r="E1059" t="str">
            <v>SPM4 - Supplement: Keep native breeds on extensively managed habitats (50-80%)</v>
          </cell>
          <cell r="F1059" t="str">
            <v>Revenue - Species recovery and management</v>
          </cell>
        </row>
        <row r="1060">
          <cell r="D1060" t="str">
            <v>WBD6</v>
          </cell>
          <cell r="E1060" t="str">
            <v>WBD6 - Remove livestock from intensive grassland during the autumn and winter (outside SDAs)</v>
          </cell>
          <cell r="F1060" t="str">
            <v>Revenue - Improving soil health</v>
          </cell>
        </row>
        <row r="1061">
          <cell r="D1061" t="str">
            <v>AB6</v>
          </cell>
          <cell r="E1061" t="str">
            <v>AB6 - Enhanced overwinter stubble</v>
          </cell>
          <cell r="F1061" t="str">
            <v>Revenue - Arable</v>
          </cell>
        </row>
        <row r="1062">
          <cell r="D1062" t="str">
            <v>AB6</v>
          </cell>
          <cell r="E1062" t="str">
            <v>AB6 - Enhanced overwinter stubble</v>
          </cell>
          <cell r="F1062" t="str">
            <v>Revenue - Arable</v>
          </cell>
        </row>
        <row r="1063">
          <cell r="D1063" t="str">
            <v>AB6</v>
          </cell>
          <cell r="E1063" t="str">
            <v>AB6 - Enhanced overwinter stubble</v>
          </cell>
          <cell r="F1063" t="str">
            <v>Revenue - Arable</v>
          </cell>
        </row>
        <row r="1064">
          <cell r="D1064" t="str">
            <v>AB6</v>
          </cell>
          <cell r="E1064" t="str">
            <v>AB6 - Enhanced overwinter stubble</v>
          </cell>
          <cell r="F1064" t="str">
            <v>Revenue - Arable</v>
          </cell>
        </row>
        <row r="1065">
          <cell r="D1065" t="str">
            <v>AB6</v>
          </cell>
          <cell r="E1065" t="str">
            <v>AB6 - Enhanced overwinter stubble</v>
          </cell>
          <cell r="F1065" t="str">
            <v>Revenue - Arable</v>
          </cell>
        </row>
        <row r="1066">
          <cell r="D1066" t="str">
            <v>SP9</v>
          </cell>
          <cell r="E1066" t="str">
            <v>SP9 - Threatened species supplement</v>
          </cell>
          <cell r="F1066" t="str">
            <v>Revenue - Species</v>
          </cell>
        </row>
        <row r="1067">
          <cell r="D1067" t="str">
            <v>SP9</v>
          </cell>
          <cell r="E1067" t="str">
            <v>SP9 - Threatened species supplement</v>
          </cell>
          <cell r="F1067" t="str">
            <v>Revenue - Species</v>
          </cell>
        </row>
        <row r="1068">
          <cell r="D1068" t="str">
            <v>OR2</v>
          </cell>
          <cell r="E1068" t="str">
            <v>OR2 - Organic conversion - unimproved permanent grassland</v>
          </cell>
          <cell r="F1068" t="str">
            <v>Revenue - Organic conversion</v>
          </cell>
        </row>
        <row r="1069">
          <cell r="D1069" t="str">
            <v>SP9</v>
          </cell>
          <cell r="E1069" t="str">
            <v>SP9 - Threatened species supplement</v>
          </cell>
          <cell r="F1069" t="str">
            <v>Revenue - Species</v>
          </cell>
        </row>
        <row r="1070">
          <cell r="D1070" t="str">
            <v>OR2</v>
          </cell>
          <cell r="E1070" t="str">
            <v>OR2 - Organic conversion - unimproved permanent grassland</v>
          </cell>
          <cell r="F1070" t="str">
            <v>Revenue - Organic conversion</v>
          </cell>
        </row>
        <row r="1071">
          <cell r="D1071" t="str">
            <v>SP9</v>
          </cell>
          <cell r="E1071" t="str">
            <v>SP9 - Threatened species supplement</v>
          </cell>
          <cell r="F1071" t="str">
            <v>Revenue - Species</v>
          </cell>
        </row>
        <row r="1072">
          <cell r="D1072" t="str">
            <v>CES6</v>
          </cell>
          <cell r="E1072" t="str">
            <v>CES6 - Supplement: Maintain features for wildfire management (fire belts)</v>
          </cell>
          <cell r="F1072" t="str">
            <v>Revenue - Woodland and trees</v>
          </cell>
        </row>
        <row r="1073">
          <cell r="D1073" t="str">
            <v>OR2</v>
          </cell>
          <cell r="E1073" t="str">
            <v>OR2 - Organic conversion - unimproved permanent grassland</v>
          </cell>
          <cell r="F1073" t="str">
            <v>Revenue - Organic conversion</v>
          </cell>
        </row>
        <row r="1074">
          <cell r="D1074" t="str">
            <v>CUP11</v>
          </cell>
          <cell r="E1074" t="str">
            <v>CUP11 - Shepherding livestock on moorland (no required stock removal period)</v>
          </cell>
          <cell r="F1074" t="str">
            <v>Revenue - Moorland</v>
          </cell>
        </row>
        <row r="1075">
          <cell r="D1075" t="str">
            <v>OR2</v>
          </cell>
          <cell r="E1075" t="str">
            <v>OR2 - Organic conversion - unimproved permanent grassland</v>
          </cell>
          <cell r="F1075" t="str">
            <v>Revenue - Organic conversion</v>
          </cell>
        </row>
        <row r="1076">
          <cell r="D1076" t="str">
            <v>CWD21</v>
          </cell>
          <cell r="E1076" t="str">
            <v>CWD21 - Restore wood pasture and parkland</v>
          </cell>
          <cell r="F1076" t="str">
            <v>Revenue - Wood pasture</v>
          </cell>
        </row>
        <row r="1077">
          <cell r="D1077" t="str">
            <v>UPL8</v>
          </cell>
          <cell r="E1077" t="str">
            <v>UPL8 - Shepherding livestock on moorland (remove stock for at least 4 months)</v>
          </cell>
          <cell r="F1077" t="str">
            <v>Revenue - Moorland</v>
          </cell>
        </row>
        <row r="1078">
          <cell r="D1078" t="str">
            <v>SW18</v>
          </cell>
          <cell r="E1078" t="str">
            <v>SW18 - Raised water levels on grassland on peat soils</v>
          </cell>
          <cell r="F1078" t="str">
            <v>Revenue - Soil and Water</v>
          </cell>
        </row>
        <row r="1079">
          <cell r="D1079" t="str">
            <v>SW18</v>
          </cell>
          <cell r="E1079" t="str">
            <v>SW18 - Raised water levels on grassland on peat soils</v>
          </cell>
          <cell r="F1079" t="str">
            <v>Revenue - Soil and Water</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01787-6BF8-42B5-95BA-1098E20BB688}">
  <dimension ref="A1:BF103"/>
  <sheetViews>
    <sheetView tabSelected="1" zoomScale="130" zoomScaleNormal="130" workbookViewId="0">
      <pane xSplit="2" ySplit="1" topLeftCell="Y2" activePane="bottomRight" state="frozen"/>
      <selection pane="bottomRight" activeCell="A3" sqref="A3"/>
      <selection pane="bottomLeft" activeCell="A2" sqref="A2"/>
      <selection pane="topRight" activeCell="C1" sqref="C1"/>
    </sheetView>
  </sheetViews>
  <sheetFormatPr defaultRowHeight="17.25" customHeight="1"/>
  <cols>
    <col min="2" max="2" width="52" customWidth="1"/>
    <col min="4" max="6" width="13.85546875" customWidth="1"/>
    <col min="8" max="8" width="35.42578125" customWidth="1"/>
    <col min="9" max="9" width="25.85546875" customWidth="1"/>
    <col min="14" max="14" width="14.7109375" customWidth="1"/>
    <col min="16" max="36" width="16.7109375" customWidth="1"/>
    <col min="37" max="39" width="22.28515625" customWidth="1"/>
    <col min="53" max="53" width="30.140625" customWidth="1"/>
    <col min="55" max="55" width="11.85546875" bestFit="1" customWidth="1"/>
    <col min="56" max="57" width="10.42578125" bestFit="1" customWidth="1"/>
  </cols>
  <sheetData>
    <row r="1" spans="1:58" ht="65.25" customHeight="1">
      <c r="A1" s="2" t="s">
        <v>0</v>
      </c>
      <c r="B1" s="2" t="s">
        <v>1</v>
      </c>
      <c r="C1" s="2" t="s">
        <v>2</v>
      </c>
      <c r="D1" s="2" t="s">
        <v>3</v>
      </c>
      <c r="E1" s="2" t="s">
        <v>4</v>
      </c>
      <c r="F1" s="2" t="s">
        <v>5</v>
      </c>
      <c r="G1" s="2" t="s">
        <v>6</v>
      </c>
      <c r="H1" s="2" t="s">
        <v>6</v>
      </c>
      <c r="I1" s="2" t="s">
        <v>7</v>
      </c>
      <c r="J1" s="3" t="s">
        <v>8</v>
      </c>
      <c r="K1" s="3" t="s">
        <v>9</v>
      </c>
      <c r="L1" s="3" t="s">
        <v>10</v>
      </c>
      <c r="M1" s="3" t="s">
        <v>11</v>
      </c>
      <c r="N1" s="3" t="s">
        <v>12</v>
      </c>
      <c r="O1" s="2" t="s">
        <v>13</v>
      </c>
      <c r="P1" s="5" t="s">
        <v>14</v>
      </c>
      <c r="Q1" s="5" t="s">
        <v>15</v>
      </c>
      <c r="R1" s="5" t="s">
        <v>16</v>
      </c>
      <c r="S1" s="5" t="s">
        <v>17</v>
      </c>
      <c r="T1" s="5" t="s">
        <v>18</v>
      </c>
      <c r="U1" s="5" t="s">
        <v>19</v>
      </c>
      <c r="V1" s="5" t="s">
        <v>20</v>
      </c>
      <c r="W1" s="5" t="s">
        <v>21</v>
      </c>
      <c r="X1" s="5" t="s">
        <v>22</v>
      </c>
      <c r="Y1" s="5"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t="s">
        <v>50</v>
      </c>
      <c r="BA1" t="s">
        <v>51</v>
      </c>
      <c r="BB1" t="s">
        <v>52</v>
      </c>
      <c r="BC1" t="s">
        <v>53</v>
      </c>
      <c r="BD1" t="s">
        <v>54</v>
      </c>
      <c r="BE1" t="s">
        <v>55</v>
      </c>
      <c r="BF1" t="s">
        <v>56</v>
      </c>
    </row>
    <row r="2" spans="1:58" ht="17.25" customHeight="1">
      <c r="A2" t="s">
        <v>57</v>
      </c>
      <c r="B2" t="s">
        <v>58</v>
      </c>
      <c r="C2" t="s">
        <v>59</v>
      </c>
      <c r="D2" s="10">
        <v>151</v>
      </c>
      <c r="E2" t="s">
        <v>60</v>
      </c>
      <c r="G2" t="s">
        <v>61</v>
      </c>
      <c r="H2" t="s">
        <v>62</v>
      </c>
      <c r="I2" t="s">
        <v>63</v>
      </c>
      <c r="J2" t="s">
        <v>64</v>
      </c>
      <c r="K2" t="s">
        <v>65</v>
      </c>
      <c r="L2" t="s">
        <v>66</v>
      </c>
      <c r="M2" t="s">
        <v>67</v>
      </c>
      <c r="N2" t="s">
        <v>68</v>
      </c>
      <c r="O2" t="s">
        <v>69</v>
      </c>
      <c r="AE2" s="6"/>
      <c r="AY2" t="s">
        <v>70</v>
      </c>
      <c r="AZ2" t="str">
        <f>VLOOKUP(A2,'[1]SQL script 7 (1)'!$D$4:$F$1079,3,FALSE)</f>
        <v>Revenue - Grassland</v>
      </c>
      <c r="BA2" t="s">
        <v>71</v>
      </c>
      <c r="BB2">
        <v>151</v>
      </c>
      <c r="BC2" t="s">
        <v>72</v>
      </c>
      <c r="BD2" s="7">
        <v>45292</v>
      </c>
      <c r="BE2" s="7">
        <v>2958465</v>
      </c>
      <c r="BF2">
        <v>1</v>
      </c>
    </row>
    <row r="3" spans="1:58" ht="17.25" customHeight="1">
      <c r="A3" t="s">
        <v>73</v>
      </c>
      <c r="B3" t="s">
        <v>74</v>
      </c>
      <c r="C3" t="s">
        <v>59</v>
      </c>
      <c r="D3" s="10">
        <v>382</v>
      </c>
      <c r="E3" t="s">
        <v>60</v>
      </c>
      <c r="G3" t="s">
        <v>75</v>
      </c>
      <c r="H3" t="s">
        <v>76</v>
      </c>
      <c r="I3" t="s">
        <v>77</v>
      </c>
      <c r="J3" t="s">
        <v>78</v>
      </c>
      <c r="K3" t="s">
        <v>79</v>
      </c>
      <c r="L3" t="s">
        <v>80</v>
      </c>
      <c r="M3" t="s">
        <v>81</v>
      </c>
      <c r="N3" t="s">
        <v>82</v>
      </c>
      <c r="O3" t="s">
        <v>83</v>
      </c>
      <c r="AE3" s="6"/>
      <c r="AY3" t="s">
        <v>84</v>
      </c>
      <c r="AZ3" t="str">
        <f>VLOOKUP(A3,'[1]SQL script 7 (1)'!$D$4:$F$1079,3,FALSE)</f>
        <v>Revenue - Improving soil health</v>
      </c>
      <c r="BA3" t="s">
        <v>71</v>
      </c>
      <c r="BB3">
        <v>382</v>
      </c>
      <c r="BC3" t="s">
        <v>72</v>
      </c>
      <c r="BD3" s="7">
        <v>45292</v>
      </c>
      <c r="BE3" s="7">
        <v>2958465</v>
      </c>
      <c r="BF3">
        <v>1</v>
      </c>
    </row>
    <row r="4" spans="1:58" ht="17.25" customHeight="1">
      <c r="A4" t="s">
        <v>85</v>
      </c>
      <c r="B4" t="s">
        <v>86</v>
      </c>
      <c r="C4" t="s">
        <v>87</v>
      </c>
      <c r="D4" s="10">
        <v>646</v>
      </c>
      <c r="E4" t="s">
        <v>60</v>
      </c>
      <c r="G4" t="s">
        <v>88</v>
      </c>
      <c r="H4" t="s">
        <v>89</v>
      </c>
      <c r="I4" t="s">
        <v>90</v>
      </c>
      <c r="J4" t="s">
        <v>91</v>
      </c>
      <c r="K4" t="s">
        <v>92</v>
      </c>
      <c r="L4" t="s">
        <v>93</v>
      </c>
      <c r="M4" t="s">
        <v>94</v>
      </c>
      <c r="N4" t="s">
        <v>95</v>
      </c>
      <c r="O4" s="1" t="s">
        <v>96</v>
      </c>
      <c r="AE4" s="6"/>
      <c r="AY4" t="s">
        <v>97</v>
      </c>
      <c r="AZ4" t="str">
        <f>VLOOKUP(A4,'[1]SQL script 7 (1)'!$D$4:$F$1079,3,FALSE)</f>
        <v>Revenue - Grassland</v>
      </c>
      <c r="BA4" t="s">
        <v>98</v>
      </c>
      <c r="BB4">
        <v>646</v>
      </c>
      <c r="BC4" t="s">
        <v>72</v>
      </c>
      <c r="BD4" s="7">
        <v>45292</v>
      </c>
      <c r="BE4" s="7">
        <v>2958465</v>
      </c>
      <c r="BF4">
        <v>1</v>
      </c>
    </row>
    <row r="5" spans="1:58" ht="17.25" customHeight="1">
      <c r="A5" t="s">
        <v>99</v>
      </c>
      <c r="B5" t="s">
        <v>100</v>
      </c>
      <c r="C5" t="s">
        <v>59</v>
      </c>
      <c r="D5" s="10">
        <v>6</v>
      </c>
      <c r="E5" t="s">
        <v>60</v>
      </c>
      <c r="F5" t="s">
        <v>101</v>
      </c>
      <c r="G5" t="s">
        <v>102</v>
      </c>
      <c r="H5" t="s">
        <v>103</v>
      </c>
      <c r="I5" t="s">
        <v>104</v>
      </c>
      <c r="J5" t="s">
        <v>105</v>
      </c>
      <c r="K5" t="s">
        <v>106</v>
      </c>
      <c r="L5" t="s">
        <v>107</v>
      </c>
      <c r="M5" t="s">
        <v>108</v>
      </c>
      <c r="N5" t="s">
        <v>109</v>
      </c>
      <c r="O5" t="s">
        <v>110</v>
      </c>
      <c r="AE5" s="6"/>
      <c r="AY5" t="s">
        <v>111</v>
      </c>
      <c r="AZ5" t="str">
        <f>VLOOKUP(A5,'[1]SQL script 7 (1)'!$D$4:$F$1079,3,FALSE)</f>
        <v>Revenue - Improving soil health</v>
      </c>
      <c r="BA5" t="s">
        <v>71</v>
      </c>
      <c r="BB5">
        <v>6</v>
      </c>
      <c r="BC5" t="s">
        <v>72</v>
      </c>
      <c r="BD5" s="7">
        <v>45292</v>
      </c>
      <c r="BE5" s="7">
        <v>2958465</v>
      </c>
      <c r="BF5">
        <v>1</v>
      </c>
    </row>
    <row r="6" spans="1:58" ht="17.25" customHeight="1">
      <c r="A6" t="s">
        <v>112</v>
      </c>
      <c r="B6" t="s">
        <v>113</v>
      </c>
      <c r="C6" t="s">
        <v>59</v>
      </c>
      <c r="D6" s="10">
        <v>27</v>
      </c>
      <c r="E6" t="s">
        <v>60</v>
      </c>
      <c r="G6" t="s">
        <v>114</v>
      </c>
      <c r="H6" t="s">
        <v>115</v>
      </c>
      <c r="I6" t="s">
        <v>116</v>
      </c>
      <c r="J6" t="s">
        <v>117</v>
      </c>
      <c r="K6" t="s">
        <v>118</v>
      </c>
      <c r="L6" t="s">
        <v>119</v>
      </c>
      <c r="M6" t="s">
        <v>120</v>
      </c>
      <c r="N6" t="s">
        <v>121</v>
      </c>
      <c r="O6" t="s">
        <v>122</v>
      </c>
      <c r="AE6" s="6"/>
      <c r="AY6" t="s">
        <v>123</v>
      </c>
      <c r="AZ6" t="str">
        <f>VLOOKUP(A6,'[1]SQL script 7 (1)'!$D$4:$F$1079,3,FALSE)</f>
        <v>Revenue - Precision farming</v>
      </c>
      <c r="BA6" t="s">
        <v>71</v>
      </c>
      <c r="BB6">
        <v>27</v>
      </c>
      <c r="BC6" t="s">
        <v>72</v>
      </c>
      <c r="BD6" s="7">
        <v>45292</v>
      </c>
      <c r="BE6" s="7">
        <v>2958465</v>
      </c>
      <c r="BF6">
        <v>1</v>
      </c>
    </row>
    <row r="7" spans="1:58" ht="17.25" customHeight="1">
      <c r="A7" t="s">
        <v>124</v>
      </c>
      <c r="B7" t="s">
        <v>125</v>
      </c>
      <c r="C7" t="s">
        <v>59</v>
      </c>
      <c r="D7" s="10">
        <v>45</v>
      </c>
      <c r="E7" t="s">
        <v>60</v>
      </c>
      <c r="G7" t="s">
        <v>126</v>
      </c>
      <c r="H7" t="s">
        <v>127</v>
      </c>
      <c r="I7" t="s">
        <v>128</v>
      </c>
      <c r="J7" t="s">
        <v>129</v>
      </c>
      <c r="K7" t="s">
        <v>130</v>
      </c>
      <c r="L7" t="s">
        <v>131</v>
      </c>
      <c r="M7" t="s">
        <v>67</v>
      </c>
      <c r="N7" t="s">
        <v>132</v>
      </c>
      <c r="O7" t="s">
        <v>133</v>
      </c>
      <c r="AE7" s="6"/>
      <c r="AY7" t="s">
        <v>134</v>
      </c>
      <c r="AZ7" t="str">
        <f>VLOOKUP(A7,'[1]SQL script 7 (1)'!$D$4:$F$1079,3,FALSE)</f>
        <v>Revenue - Integrated pest management</v>
      </c>
      <c r="BA7" t="s">
        <v>71</v>
      </c>
      <c r="BB7">
        <v>45</v>
      </c>
      <c r="BC7" t="s">
        <v>72</v>
      </c>
      <c r="BD7" s="7">
        <v>45292</v>
      </c>
      <c r="BE7" s="7">
        <v>2958465</v>
      </c>
      <c r="BF7">
        <v>1</v>
      </c>
    </row>
    <row r="8" spans="1:58" ht="17.25" customHeight="1">
      <c r="A8" t="s">
        <v>135</v>
      </c>
      <c r="B8" t="s">
        <v>136</v>
      </c>
      <c r="C8" t="s">
        <v>59</v>
      </c>
      <c r="D8" s="10">
        <v>157</v>
      </c>
      <c r="E8" t="s">
        <v>60</v>
      </c>
      <c r="G8" t="s">
        <v>137</v>
      </c>
      <c r="H8" t="s">
        <v>138</v>
      </c>
      <c r="I8" t="s">
        <v>139</v>
      </c>
      <c r="J8" t="s">
        <v>140</v>
      </c>
      <c r="K8" t="s">
        <v>141</v>
      </c>
      <c r="L8" t="s">
        <v>142</v>
      </c>
      <c r="M8" t="s">
        <v>143</v>
      </c>
      <c r="N8" t="s">
        <v>144</v>
      </c>
      <c r="O8" t="s">
        <v>145</v>
      </c>
      <c r="AE8" s="6"/>
      <c r="AY8" t="s">
        <v>146</v>
      </c>
      <c r="AZ8" t="str">
        <f>VLOOKUP(A8,'[1]SQL script 7 (1)'!$D$4:$F$1079,3,FALSE)</f>
        <v>Revenue - Grassland</v>
      </c>
      <c r="BA8" t="s">
        <v>71</v>
      </c>
      <c r="BB8">
        <v>157</v>
      </c>
      <c r="BC8" t="s">
        <v>72</v>
      </c>
      <c r="BD8" s="7">
        <v>45292</v>
      </c>
      <c r="BE8" s="7">
        <v>2958465</v>
      </c>
      <c r="BF8">
        <v>1</v>
      </c>
    </row>
    <row r="9" spans="1:58" ht="17.25" customHeight="1">
      <c r="A9" t="s">
        <v>147</v>
      </c>
      <c r="B9" t="s">
        <v>148</v>
      </c>
      <c r="C9" t="s">
        <v>59</v>
      </c>
      <c r="D9" s="10">
        <v>13</v>
      </c>
      <c r="E9" t="s">
        <v>149</v>
      </c>
      <c r="F9" t="s">
        <v>150</v>
      </c>
      <c r="G9" t="s">
        <v>151</v>
      </c>
      <c r="H9" t="s">
        <v>152</v>
      </c>
      <c r="I9" t="s">
        <v>153</v>
      </c>
      <c r="J9" t="s">
        <v>154</v>
      </c>
      <c r="K9" t="s">
        <v>155</v>
      </c>
      <c r="L9" t="s">
        <v>156</v>
      </c>
      <c r="M9" t="s">
        <v>67</v>
      </c>
      <c r="N9" t="s">
        <v>157</v>
      </c>
      <c r="O9" t="s">
        <v>158</v>
      </c>
      <c r="AE9" s="6"/>
      <c r="AY9" t="s">
        <v>159</v>
      </c>
      <c r="AZ9" t="str">
        <f>VLOOKUP(A9,'[1]SQL script 7 (1)'!$D$4:$F$1079,3,FALSE)</f>
        <v>Revenue - Boundaries</v>
      </c>
      <c r="BA9" t="s">
        <v>71</v>
      </c>
      <c r="BB9">
        <v>13</v>
      </c>
      <c r="BC9" t="s">
        <v>160</v>
      </c>
      <c r="BD9" s="7">
        <v>45292</v>
      </c>
      <c r="BE9" s="7">
        <v>2958465</v>
      </c>
      <c r="BF9">
        <v>1</v>
      </c>
    </row>
    <row r="10" spans="1:58" ht="17.25" customHeight="1">
      <c r="A10" t="s">
        <v>161</v>
      </c>
      <c r="B10" t="s">
        <v>162</v>
      </c>
      <c r="C10" t="s">
        <v>59</v>
      </c>
      <c r="D10" s="10">
        <v>853</v>
      </c>
      <c r="E10" t="s">
        <v>60</v>
      </c>
      <c r="G10" t="s">
        <v>163</v>
      </c>
      <c r="H10" t="s">
        <v>164</v>
      </c>
      <c r="I10" t="s">
        <v>165</v>
      </c>
      <c r="J10" t="s">
        <v>166</v>
      </c>
      <c r="K10" t="s">
        <v>167</v>
      </c>
      <c r="L10" t="s">
        <v>168</v>
      </c>
      <c r="M10" t="s">
        <v>81</v>
      </c>
      <c r="N10" t="s">
        <v>169</v>
      </c>
      <c r="O10" t="s">
        <v>170</v>
      </c>
      <c r="AE10" s="6"/>
      <c r="AY10" t="s">
        <v>171</v>
      </c>
      <c r="AZ10" t="str">
        <f>VLOOKUP(A10,'[1]SQL script 7 (1)'!$D$4:$F$1079,3,FALSE)</f>
        <v>Revenue - Arable</v>
      </c>
      <c r="BA10" t="s">
        <v>71</v>
      </c>
      <c r="BB10">
        <v>853</v>
      </c>
      <c r="BC10" t="s">
        <v>72</v>
      </c>
      <c r="BD10" s="7">
        <v>45292</v>
      </c>
      <c r="BE10" s="7">
        <v>2958465</v>
      </c>
      <c r="BF10">
        <v>1</v>
      </c>
    </row>
    <row r="11" spans="1:58" ht="17.25" customHeight="1">
      <c r="A11" t="s">
        <v>172</v>
      </c>
      <c r="B11" t="s">
        <v>173</v>
      </c>
      <c r="C11" t="s">
        <v>59</v>
      </c>
      <c r="D11" s="10">
        <v>129</v>
      </c>
      <c r="E11" t="s">
        <v>60</v>
      </c>
      <c r="G11" t="s">
        <v>174</v>
      </c>
      <c r="H11" t="s">
        <v>175</v>
      </c>
      <c r="I11" t="s">
        <v>176</v>
      </c>
      <c r="J11" t="s">
        <v>177</v>
      </c>
      <c r="K11" t="s">
        <v>178</v>
      </c>
      <c r="L11" t="s">
        <v>179</v>
      </c>
      <c r="M11" t="s">
        <v>81</v>
      </c>
      <c r="N11" t="s">
        <v>180</v>
      </c>
      <c r="O11" t="s">
        <v>181</v>
      </c>
      <c r="AE11" s="6"/>
      <c r="AY11" t="s">
        <v>182</v>
      </c>
      <c r="AZ11" t="str">
        <f>VLOOKUP(A11,'[1]SQL script 7 (1)'!$D$4:$F$1079,3,FALSE)</f>
        <v>Revenue - Improving soil health</v>
      </c>
      <c r="BA11" t="s">
        <v>71</v>
      </c>
      <c r="BB11">
        <v>129</v>
      </c>
      <c r="BC11" t="s">
        <v>72</v>
      </c>
      <c r="BD11" s="7">
        <v>45292</v>
      </c>
      <c r="BE11" s="7">
        <v>2958465</v>
      </c>
      <c r="BF11">
        <v>1</v>
      </c>
    </row>
    <row r="12" spans="1:58" ht="17.25" customHeight="1">
      <c r="A12" t="s">
        <v>183</v>
      </c>
      <c r="B12" t="s">
        <v>184</v>
      </c>
      <c r="C12" t="s">
        <v>59</v>
      </c>
      <c r="D12" s="10">
        <v>73</v>
      </c>
      <c r="E12" t="s">
        <v>60</v>
      </c>
      <c r="G12" t="s">
        <v>185</v>
      </c>
      <c r="H12" t="s">
        <v>186</v>
      </c>
      <c r="I12" t="s">
        <v>187</v>
      </c>
      <c r="J12" t="s">
        <v>188</v>
      </c>
      <c r="K12" t="s">
        <v>189</v>
      </c>
      <c r="L12" t="s">
        <v>190</v>
      </c>
      <c r="M12" t="s">
        <v>191</v>
      </c>
      <c r="N12" t="s">
        <v>192</v>
      </c>
      <c r="O12" t="s">
        <v>193</v>
      </c>
      <c r="AE12" s="6"/>
      <c r="AY12" t="s">
        <v>194</v>
      </c>
      <c r="AZ12" t="str">
        <f>VLOOKUP(A12,'[1]SQL script 7 (1)'!$D$4:$F$1079,3,FALSE)</f>
        <v>Revenue - Improving soil health</v>
      </c>
      <c r="BA12" t="s">
        <v>71</v>
      </c>
      <c r="BB12">
        <v>73</v>
      </c>
      <c r="BC12" t="s">
        <v>72</v>
      </c>
      <c r="BD12" s="7">
        <v>45292</v>
      </c>
      <c r="BE12" s="7">
        <v>2958465</v>
      </c>
      <c r="BF12">
        <v>1</v>
      </c>
    </row>
    <row r="13" spans="1:58" ht="17.25" customHeight="1">
      <c r="A13" t="s">
        <v>195</v>
      </c>
      <c r="B13" t="s">
        <v>196</v>
      </c>
      <c r="C13" t="s">
        <v>59</v>
      </c>
      <c r="D13" s="10">
        <v>5</v>
      </c>
      <c r="E13" t="s">
        <v>149</v>
      </c>
      <c r="F13" t="s">
        <v>197</v>
      </c>
      <c r="G13" t="s">
        <v>198</v>
      </c>
      <c r="H13" t="s">
        <v>199</v>
      </c>
      <c r="I13" t="s">
        <v>104</v>
      </c>
      <c r="J13" t="s">
        <v>200</v>
      </c>
      <c r="K13" t="s">
        <v>201</v>
      </c>
      <c r="L13" t="s">
        <v>202</v>
      </c>
      <c r="M13" t="s">
        <v>203</v>
      </c>
      <c r="N13" t="s">
        <v>204</v>
      </c>
      <c r="O13" t="s">
        <v>205</v>
      </c>
      <c r="AE13" s="6"/>
      <c r="AY13" t="s">
        <v>206</v>
      </c>
      <c r="AZ13" t="str">
        <f>VLOOKUP(A13,'[1]SQL script 7 (1)'!$D$4:$F$1079,3,FALSE)</f>
        <v>Revenue - Boundaries</v>
      </c>
      <c r="BA13" t="s">
        <v>71</v>
      </c>
      <c r="BB13">
        <v>5</v>
      </c>
      <c r="BC13" t="s">
        <v>160</v>
      </c>
      <c r="BD13" s="7">
        <v>45292</v>
      </c>
      <c r="BE13" s="7">
        <v>2958465</v>
      </c>
      <c r="BF13">
        <v>1</v>
      </c>
    </row>
    <row r="14" spans="1:58" ht="17.25" customHeight="1">
      <c r="A14" t="s">
        <v>207</v>
      </c>
      <c r="B14" t="s">
        <v>208</v>
      </c>
      <c r="C14" t="s">
        <v>59</v>
      </c>
      <c r="D14" s="10">
        <v>593</v>
      </c>
      <c r="E14" t="s">
        <v>60</v>
      </c>
      <c r="G14" t="s">
        <v>209</v>
      </c>
      <c r="H14" t="s">
        <v>210</v>
      </c>
      <c r="I14" t="s">
        <v>211</v>
      </c>
      <c r="J14" t="s">
        <v>212</v>
      </c>
      <c r="K14" t="s">
        <v>213</v>
      </c>
      <c r="L14" t="s">
        <v>214</v>
      </c>
      <c r="M14" t="s">
        <v>81</v>
      </c>
      <c r="N14" t="s">
        <v>215</v>
      </c>
      <c r="O14" t="s">
        <v>216</v>
      </c>
      <c r="AE14" s="6"/>
      <c r="AY14" t="s">
        <v>217</v>
      </c>
      <c r="AZ14" t="str">
        <f>VLOOKUP(A14,'[1]SQL script 7 (1)'!$D$4:$F$1079,3,FALSE)</f>
        <v>Revenue - Nutrient management</v>
      </c>
      <c r="BA14" t="s">
        <v>71</v>
      </c>
      <c r="BB14">
        <v>593</v>
      </c>
      <c r="BC14" t="s">
        <v>72</v>
      </c>
      <c r="BD14" s="7">
        <v>45292</v>
      </c>
      <c r="BE14" s="7">
        <v>2958465</v>
      </c>
      <c r="BF14">
        <v>1</v>
      </c>
    </row>
    <row r="15" spans="1:58" ht="17.25" customHeight="1">
      <c r="A15" t="s">
        <v>218</v>
      </c>
      <c r="B15" t="s">
        <v>219</v>
      </c>
      <c r="C15" t="s">
        <v>87</v>
      </c>
      <c r="D15" s="10">
        <v>59</v>
      </c>
      <c r="E15" t="s">
        <v>60</v>
      </c>
      <c r="G15" t="s">
        <v>220</v>
      </c>
      <c r="H15" t="s">
        <v>221</v>
      </c>
      <c r="I15" t="s">
        <v>222</v>
      </c>
      <c r="J15" t="s">
        <v>223</v>
      </c>
      <c r="K15" t="s">
        <v>224</v>
      </c>
      <c r="L15" t="s">
        <v>142</v>
      </c>
      <c r="M15" t="s">
        <v>225</v>
      </c>
      <c r="N15" t="s">
        <v>144</v>
      </c>
      <c r="O15" t="s">
        <v>226</v>
      </c>
      <c r="AE15" s="6"/>
      <c r="AY15" t="s">
        <v>227</v>
      </c>
      <c r="AZ15" t="str">
        <f>VLOOKUP(A15,'[1]SQL script 7 (1)'!$D$4:$F$1079,3,FALSE)</f>
        <v>Revenue - Grassland</v>
      </c>
      <c r="BA15" t="s">
        <v>71</v>
      </c>
      <c r="BB15">
        <v>59</v>
      </c>
      <c r="BC15" t="s">
        <v>72</v>
      </c>
      <c r="BD15" s="7">
        <v>45292</v>
      </c>
      <c r="BE15" s="7">
        <v>2958465</v>
      </c>
      <c r="BF15">
        <v>1</v>
      </c>
    </row>
    <row r="16" spans="1:58" ht="17.25" customHeight="1">
      <c r="A16" t="s">
        <v>228</v>
      </c>
      <c r="B16" t="s">
        <v>229</v>
      </c>
      <c r="C16" t="s">
        <v>59</v>
      </c>
      <c r="D16" s="10">
        <v>10</v>
      </c>
      <c r="E16" t="s">
        <v>230</v>
      </c>
      <c r="F16" t="s">
        <v>231</v>
      </c>
      <c r="G16" t="s">
        <v>232</v>
      </c>
      <c r="H16" t="s">
        <v>233</v>
      </c>
      <c r="I16" t="s">
        <v>234</v>
      </c>
      <c r="J16" t="s">
        <v>235</v>
      </c>
      <c r="K16" t="s">
        <v>236</v>
      </c>
      <c r="L16" t="s">
        <v>237</v>
      </c>
      <c r="M16" t="s">
        <v>67</v>
      </c>
      <c r="N16" t="s">
        <v>238</v>
      </c>
      <c r="O16" t="s">
        <v>239</v>
      </c>
      <c r="AE16" s="6"/>
      <c r="AY16" t="s">
        <v>240</v>
      </c>
      <c r="AZ16" t="str">
        <f>VLOOKUP(A16,'[1]SQL script 7 (1)'!$D$4:$F$1079,3,FALSE)</f>
        <v>Revenue - Boundaries</v>
      </c>
      <c r="BA16" t="s">
        <v>71</v>
      </c>
      <c r="BB16">
        <v>10</v>
      </c>
      <c r="BC16" t="s">
        <v>160</v>
      </c>
      <c r="BD16" s="7">
        <v>45292</v>
      </c>
      <c r="BE16" s="7">
        <v>2958465</v>
      </c>
      <c r="BF16">
        <v>1</v>
      </c>
    </row>
    <row r="17" spans="1:58" ht="17.25" customHeight="1">
      <c r="A17" t="s">
        <v>241</v>
      </c>
      <c r="B17" t="s">
        <v>242</v>
      </c>
      <c r="C17" t="s">
        <v>59</v>
      </c>
      <c r="D17" t="s">
        <v>104</v>
      </c>
      <c r="G17" t="s">
        <v>243</v>
      </c>
      <c r="H17" t="s">
        <v>244</v>
      </c>
      <c r="I17" t="s">
        <v>245</v>
      </c>
      <c r="J17" t="s">
        <v>246</v>
      </c>
      <c r="K17" t="s">
        <v>247</v>
      </c>
      <c r="L17" t="s">
        <v>119</v>
      </c>
      <c r="M17" t="s">
        <v>248</v>
      </c>
      <c r="N17" t="s">
        <v>249</v>
      </c>
      <c r="O17" t="s">
        <v>250</v>
      </c>
      <c r="AE17" s="6"/>
      <c r="AY17" t="s">
        <v>251</v>
      </c>
      <c r="AZ17" t="str">
        <f>VLOOKUP(A17,'[1]SQL script 7 (1)'!$D$4:$F$1079,3,FALSE)</f>
        <v>Revenue - Lakes/Ponds/Ditches</v>
      </c>
      <c r="BA17" t="s">
        <v>71</v>
      </c>
      <c r="BB17">
        <v>257</v>
      </c>
      <c r="BC17" t="s">
        <v>252</v>
      </c>
      <c r="BD17" s="7">
        <v>45292</v>
      </c>
      <c r="BE17" s="7">
        <v>2958465</v>
      </c>
      <c r="BF17">
        <v>1</v>
      </c>
    </row>
    <row r="18" spans="1:58" ht="17.25" customHeight="1">
      <c r="A18" t="s">
        <v>253</v>
      </c>
      <c r="B18" t="s">
        <v>254</v>
      </c>
      <c r="C18" t="s">
        <v>59</v>
      </c>
      <c r="D18" s="10">
        <v>354</v>
      </c>
      <c r="E18" t="s">
        <v>60</v>
      </c>
      <c r="G18" t="s">
        <v>255</v>
      </c>
      <c r="H18" t="s">
        <v>256</v>
      </c>
      <c r="I18" t="s">
        <v>257</v>
      </c>
      <c r="J18" t="s">
        <v>258</v>
      </c>
      <c r="K18" t="s">
        <v>259</v>
      </c>
      <c r="L18" t="s">
        <v>260</v>
      </c>
      <c r="M18" t="s">
        <v>67</v>
      </c>
      <c r="N18" t="s">
        <v>261</v>
      </c>
      <c r="O18" t="s">
        <v>262</v>
      </c>
      <c r="AE18" s="6"/>
      <c r="AY18" t="s">
        <v>263</v>
      </c>
      <c r="AZ18" t="str">
        <f>VLOOKUP(A18,'[1]SQL script 7 (1)'!$D$4:$F$1079,3,FALSE)</f>
        <v>Revenue - Arable</v>
      </c>
      <c r="BA18" t="s">
        <v>71</v>
      </c>
      <c r="BB18">
        <v>354</v>
      </c>
      <c r="BC18" t="s">
        <v>72</v>
      </c>
      <c r="BD18" s="7">
        <v>45292</v>
      </c>
      <c r="BE18" s="7">
        <v>2958465</v>
      </c>
      <c r="BF18">
        <v>1</v>
      </c>
    </row>
    <row r="19" spans="1:58" ht="17.25" customHeight="1">
      <c r="A19" t="s">
        <v>264</v>
      </c>
      <c r="B19" t="s">
        <v>265</v>
      </c>
      <c r="C19" t="s">
        <v>59</v>
      </c>
      <c r="D19" s="10">
        <v>163</v>
      </c>
      <c r="E19" t="s">
        <v>60</v>
      </c>
      <c r="G19" t="s">
        <v>266</v>
      </c>
      <c r="H19" t="s">
        <v>267</v>
      </c>
      <c r="I19" t="s">
        <v>268</v>
      </c>
      <c r="J19" t="s">
        <v>269</v>
      </c>
      <c r="K19" t="s">
        <v>270</v>
      </c>
      <c r="L19" t="s">
        <v>271</v>
      </c>
      <c r="M19" t="s">
        <v>272</v>
      </c>
      <c r="N19" t="s">
        <v>273</v>
      </c>
      <c r="O19" t="s">
        <v>274</v>
      </c>
      <c r="AE19" s="6"/>
      <c r="AY19" t="s">
        <v>275</v>
      </c>
      <c r="AZ19" t="str">
        <f>VLOOKUP(A19,'[1]SQL script 7 (1)'!$D$4:$F$1079,3,FALSE)</f>
        <v>Revenue - Improving soil health</v>
      </c>
      <c r="BA19" t="s">
        <v>71</v>
      </c>
      <c r="BB19">
        <v>163</v>
      </c>
      <c r="BC19" t="s">
        <v>72</v>
      </c>
      <c r="BD19" s="7">
        <v>45292</v>
      </c>
      <c r="BE19" s="7">
        <v>2958465</v>
      </c>
      <c r="BF19">
        <v>1</v>
      </c>
    </row>
    <row r="20" spans="1:58" ht="17.25" customHeight="1">
      <c r="A20" t="s">
        <v>276</v>
      </c>
      <c r="B20" t="s">
        <v>277</v>
      </c>
      <c r="C20" t="s">
        <v>59</v>
      </c>
      <c r="D20" s="10">
        <v>515</v>
      </c>
      <c r="E20" t="s">
        <v>60</v>
      </c>
      <c r="G20" t="s">
        <v>278</v>
      </c>
      <c r="H20" t="s">
        <v>279</v>
      </c>
      <c r="I20" t="s">
        <v>280</v>
      </c>
      <c r="J20" t="s">
        <v>281</v>
      </c>
      <c r="K20" t="s">
        <v>282</v>
      </c>
      <c r="L20" t="s">
        <v>283</v>
      </c>
      <c r="M20" t="s">
        <v>67</v>
      </c>
      <c r="N20" t="s">
        <v>284</v>
      </c>
      <c r="O20" t="s">
        <v>285</v>
      </c>
      <c r="AE20" s="6"/>
      <c r="AY20" t="s">
        <v>286</v>
      </c>
      <c r="AZ20" t="str">
        <f>VLOOKUP(A20,'[1]SQL script 7 (1)'!$D$4:$F$1079,3,FALSE)</f>
        <v>Revenue - Grassland</v>
      </c>
      <c r="BA20" t="s">
        <v>71</v>
      </c>
      <c r="BB20">
        <v>515</v>
      </c>
      <c r="BC20" t="s">
        <v>72</v>
      </c>
      <c r="BD20" s="7">
        <v>45292</v>
      </c>
      <c r="BE20" s="7">
        <v>2958465</v>
      </c>
      <c r="BF20">
        <v>1</v>
      </c>
    </row>
    <row r="21" spans="1:58" ht="17.25" customHeight="1">
      <c r="A21" t="s">
        <v>287</v>
      </c>
      <c r="B21" t="s">
        <v>288</v>
      </c>
      <c r="C21" t="s">
        <v>59</v>
      </c>
      <c r="D21" s="10">
        <v>732</v>
      </c>
      <c r="E21" t="s">
        <v>289</v>
      </c>
      <c r="F21" t="s">
        <v>290</v>
      </c>
      <c r="G21" t="s">
        <v>291</v>
      </c>
      <c r="H21" t="s">
        <v>292</v>
      </c>
      <c r="I21" t="s">
        <v>293</v>
      </c>
      <c r="J21" t="s">
        <v>294</v>
      </c>
      <c r="K21" t="s">
        <v>295</v>
      </c>
      <c r="L21" t="s">
        <v>296</v>
      </c>
      <c r="M21" t="s">
        <v>297</v>
      </c>
      <c r="N21" t="s">
        <v>298</v>
      </c>
      <c r="O21" t="s">
        <v>299</v>
      </c>
      <c r="AE21" s="6"/>
      <c r="AY21" t="s">
        <v>300</v>
      </c>
      <c r="AZ21" t="str">
        <f>VLOOKUP(A21,'[1]SQL script 7 (1)'!$D$4:$F$1079,3,FALSE)</f>
        <v>Revenue - Arable</v>
      </c>
      <c r="BA21" t="s">
        <v>71</v>
      </c>
      <c r="BB21">
        <v>732</v>
      </c>
      <c r="BC21" t="s">
        <v>301</v>
      </c>
      <c r="BD21" s="7">
        <v>45292</v>
      </c>
      <c r="BE21" s="7">
        <v>2958465</v>
      </c>
      <c r="BF21">
        <v>1</v>
      </c>
    </row>
    <row r="22" spans="1:58" ht="17.25" customHeight="1">
      <c r="A22" t="s">
        <v>302</v>
      </c>
      <c r="B22" t="s">
        <v>303</v>
      </c>
      <c r="C22" t="s">
        <v>87</v>
      </c>
      <c r="D22" s="10">
        <v>742</v>
      </c>
      <c r="E22" t="s">
        <v>304</v>
      </c>
      <c r="F22" t="s">
        <v>305</v>
      </c>
      <c r="G22" t="s">
        <v>306</v>
      </c>
      <c r="H22" t="s">
        <v>306</v>
      </c>
      <c r="I22" s="4" t="e">
        <v>#VALUE!</v>
      </c>
      <c r="J22" t="s">
        <v>307</v>
      </c>
      <c r="K22" t="s">
        <v>308</v>
      </c>
      <c r="L22" t="s">
        <v>309</v>
      </c>
      <c r="M22" t="s">
        <v>94</v>
      </c>
      <c r="N22" t="s">
        <v>310</v>
      </c>
      <c r="O22" t="s">
        <v>311</v>
      </c>
      <c r="AE22" s="6"/>
      <c r="AY22" t="s">
        <v>312</v>
      </c>
      <c r="AZ22" t="str">
        <f>VLOOKUP(A22,'[1]SQL script 7 (1)'!$D$4:$F$1079,3,FALSE)</f>
        <v>Revenue - Waterbodies</v>
      </c>
      <c r="BA22" t="s">
        <v>71</v>
      </c>
      <c r="BB22">
        <v>742</v>
      </c>
      <c r="BC22" t="s">
        <v>72</v>
      </c>
      <c r="BD22" s="7">
        <v>45292</v>
      </c>
      <c r="BE22" s="7">
        <v>2958465</v>
      </c>
      <c r="BF22">
        <v>1</v>
      </c>
    </row>
    <row r="23" spans="1:58" ht="17.25" customHeight="1">
      <c r="A23" t="s">
        <v>313</v>
      </c>
      <c r="B23" t="s">
        <v>314</v>
      </c>
      <c r="C23" t="s">
        <v>59</v>
      </c>
      <c r="D23" s="10">
        <v>55</v>
      </c>
      <c r="E23" t="s">
        <v>60</v>
      </c>
      <c r="G23" t="s">
        <v>315</v>
      </c>
      <c r="H23" t="s">
        <v>316</v>
      </c>
      <c r="I23" t="s">
        <v>317</v>
      </c>
      <c r="J23" t="s">
        <v>212</v>
      </c>
      <c r="K23" t="s">
        <v>318</v>
      </c>
      <c r="L23" t="s">
        <v>319</v>
      </c>
      <c r="M23" t="s">
        <v>94</v>
      </c>
      <c r="N23" t="s">
        <v>320</v>
      </c>
      <c r="O23" t="s">
        <v>321</v>
      </c>
      <c r="AE23" s="6"/>
      <c r="AY23" t="s">
        <v>322</v>
      </c>
      <c r="AZ23" t="str">
        <f>VLOOKUP(A23,'[1]SQL script 7 (1)'!$D$4:$F$1079,3,FALSE)</f>
        <v>Revenue - Integrated pest management</v>
      </c>
      <c r="BA23" t="s">
        <v>71</v>
      </c>
      <c r="BB23">
        <v>55</v>
      </c>
      <c r="BC23" t="s">
        <v>72</v>
      </c>
      <c r="BD23" s="7">
        <v>45292</v>
      </c>
      <c r="BE23" s="7">
        <v>2958465</v>
      </c>
      <c r="BF23">
        <v>1</v>
      </c>
    </row>
    <row r="24" spans="1:58" ht="17.25" customHeight="1">
      <c r="A24" t="s">
        <v>323</v>
      </c>
      <c r="B24" t="s">
        <v>324</v>
      </c>
      <c r="C24" t="s">
        <v>59</v>
      </c>
      <c r="D24" s="10">
        <v>590</v>
      </c>
      <c r="E24" t="s">
        <v>60</v>
      </c>
      <c r="G24" t="s">
        <v>325</v>
      </c>
      <c r="H24" t="s">
        <v>326</v>
      </c>
      <c r="I24" t="s">
        <v>327</v>
      </c>
      <c r="J24" t="s">
        <v>328</v>
      </c>
      <c r="K24" t="s">
        <v>329</v>
      </c>
      <c r="L24" t="s">
        <v>330</v>
      </c>
      <c r="M24" t="s">
        <v>67</v>
      </c>
      <c r="N24" t="s">
        <v>331</v>
      </c>
      <c r="O24" t="s">
        <v>332</v>
      </c>
      <c r="AE24" s="6"/>
      <c r="AY24" t="s">
        <v>333</v>
      </c>
      <c r="AZ24" t="str">
        <f>VLOOKUP(A24,'[1]SQL script 7 (1)'!$D$4:$F$1079,3,FALSE)</f>
        <v>Revenue - Arable</v>
      </c>
      <c r="BA24" t="s">
        <v>71</v>
      </c>
      <c r="BB24">
        <v>590</v>
      </c>
      <c r="BC24" t="s">
        <v>72</v>
      </c>
      <c r="BD24" s="7">
        <v>45292</v>
      </c>
      <c r="BE24" s="7">
        <v>2958465</v>
      </c>
      <c r="BF24">
        <v>1</v>
      </c>
    </row>
    <row r="25" spans="1:58" ht="17.25" customHeight="1">
      <c r="A25" t="s">
        <v>334</v>
      </c>
      <c r="B25" t="s">
        <v>335</v>
      </c>
      <c r="C25" t="s">
        <v>59</v>
      </c>
      <c r="D25" s="10">
        <v>102</v>
      </c>
      <c r="E25" t="s">
        <v>60</v>
      </c>
      <c r="G25" t="s">
        <v>336</v>
      </c>
      <c r="H25" t="s">
        <v>337</v>
      </c>
      <c r="I25" t="s">
        <v>338</v>
      </c>
      <c r="J25" t="s">
        <v>339</v>
      </c>
      <c r="K25" t="s">
        <v>340</v>
      </c>
      <c r="L25" t="s">
        <v>341</v>
      </c>
      <c r="M25" t="s">
        <v>67</v>
      </c>
      <c r="N25" t="s">
        <v>342</v>
      </c>
      <c r="O25" t="s">
        <v>343</v>
      </c>
      <c r="AE25" s="6"/>
      <c r="AY25" t="s">
        <v>344</v>
      </c>
      <c r="AZ25" t="str">
        <f>VLOOKUP(A25,'[1]SQL script 7 (1)'!$D$4:$F$1079,3,FALSE)</f>
        <v>Revenue - Nutrient management</v>
      </c>
      <c r="BA25" t="s">
        <v>71</v>
      </c>
      <c r="BB25">
        <v>102</v>
      </c>
      <c r="BC25" t="s">
        <v>72</v>
      </c>
      <c r="BD25" s="7">
        <v>45292</v>
      </c>
      <c r="BE25" s="7">
        <v>2958465</v>
      </c>
      <c r="BF25">
        <v>1</v>
      </c>
    </row>
    <row r="26" spans="1:58" ht="17.25" customHeight="1">
      <c r="A26" t="s">
        <v>345</v>
      </c>
      <c r="B26" t="s">
        <v>346</v>
      </c>
      <c r="C26" t="s">
        <v>59</v>
      </c>
      <c r="D26" s="10">
        <v>5</v>
      </c>
      <c r="E26" t="s">
        <v>347</v>
      </c>
      <c r="F26" t="s">
        <v>348</v>
      </c>
      <c r="G26" t="s">
        <v>349</v>
      </c>
      <c r="H26" t="s">
        <v>349</v>
      </c>
      <c r="I26" s="4" t="e">
        <v>#VALUE!</v>
      </c>
      <c r="J26" t="s">
        <v>350</v>
      </c>
      <c r="K26" t="s">
        <v>351</v>
      </c>
      <c r="L26" t="s">
        <v>352</v>
      </c>
      <c r="M26" t="s">
        <v>353</v>
      </c>
      <c r="N26" t="s">
        <v>354</v>
      </c>
      <c r="O26" t="s">
        <v>355</v>
      </c>
      <c r="R26">
        <v>1</v>
      </c>
      <c r="AE26" s="6"/>
      <c r="AY26" t="s">
        <v>356</v>
      </c>
      <c r="AZ26" t="str">
        <f>VLOOKUP(A26,'[1]SQL script 7 (1)'!$D$4:$F$1079,3,FALSE)</f>
        <v>Revenue - Heritage</v>
      </c>
      <c r="BA26" t="s">
        <v>71</v>
      </c>
      <c r="BB26">
        <v>50000</v>
      </c>
      <c r="BC26" t="s">
        <v>72</v>
      </c>
      <c r="BD26" s="7">
        <v>45292</v>
      </c>
      <c r="BE26" s="7">
        <v>2958465</v>
      </c>
      <c r="BF26">
        <v>1</v>
      </c>
    </row>
    <row r="27" spans="1:58" ht="17.25" customHeight="1">
      <c r="A27" t="s">
        <v>357</v>
      </c>
      <c r="B27" t="s">
        <v>358</v>
      </c>
      <c r="C27" t="s">
        <v>59</v>
      </c>
      <c r="D27" s="10">
        <v>248</v>
      </c>
      <c r="E27" t="s">
        <v>60</v>
      </c>
      <c r="F27" t="s">
        <v>359</v>
      </c>
      <c r="G27" t="s">
        <v>360</v>
      </c>
      <c r="H27" t="s">
        <v>361</v>
      </c>
      <c r="I27" t="s">
        <v>362</v>
      </c>
      <c r="J27" t="s">
        <v>363</v>
      </c>
      <c r="K27" t="s">
        <v>364</v>
      </c>
      <c r="L27" t="s">
        <v>119</v>
      </c>
      <c r="M27" t="s">
        <v>94</v>
      </c>
      <c r="N27" t="s">
        <v>365</v>
      </c>
      <c r="O27" t="s">
        <v>366</v>
      </c>
      <c r="Z27">
        <v>1</v>
      </c>
      <c r="AY27" t="s">
        <v>367</v>
      </c>
      <c r="AZ27" t="str">
        <f>VLOOKUP(A27,'[1]SQL script 7 (1)'!$D$4:$F$1079,3,FALSE)</f>
        <v>Revenue - Agroforestry</v>
      </c>
      <c r="BA27" t="s">
        <v>71</v>
      </c>
      <c r="BB27">
        <v>248</v>
      </c>
      <c r="BC27" t="s">
        <v>72</v>
      </c>
      <c r="BD27" s="7">
        <v>45292</v>
      </c>
      <c r="BE27" s="7">
        <v>2958465</v>
      </c>
      <c r="BF27">
        <v>1</v>
      </c>
    </row>
    <row r="28" spans="1:58" ht="17.25" customHeight="1">
      <c r="A28" t="s">
        <v>368</v>
      </c>
      <c r="B28" t="s">
        <v>369</v>
      </c>
      <c r="C28" t="s">
        <v>59</v>
      </c>
      <c r="D28" s="10">
        <v>798</v>
      </c>
      <c r="E28" t="s">
        <v>60</v>
      </c>
      <c r="G28" t="s">
        <v>370</v>
      </c>
      <c r="H28" t="s">
        <v>371</v>
      </c>
      <c r="I28" t="s">
        <v>372</v>
      </c>
      <c r="J28" t="s">
        <v>373</v>
      </c>
      <c r="K28" t="s">
        <v>374</v>
      </c>
      <c r="L28" t="s">
        <v>375</v>
      </c>
      <c r="M28" t="s">
        <v>81</v>
      </c>
      <c r="N28" t="s">
        <v>376</v>
      </c>
      <c r="O28" t="s">
        <v>377</v>
      </c>
      <c r="AY28" t="s">
        <v>378</v>
      </c>
      <c r="AZ28" t="str">
        <f>VLOOKUP(A28,'[1]SQL script 7 (1)'!$D$4:$F$1079,3,FALSE)</f>
        <v>Revenue - Integrated pest management</v>
      </c>
      <c r="BA28" t="s">
        <v>71</v>
      </c>
      <c r="BB28">
        <v>798</v>
      </c>
      <c r="BC28" t="s">
        <v>72</v>
      </c>
      <c r="BD28" s="7">
        <v>45292</v>
      </c>
      <c r="BE28" s="7">
        <v>2958465</v>
      </c>
      <c r="BF28">
        <v>1</v>
      </c>
    </row>
    <row r="29" spans="1:58" ht="17.25" customHeight="1">
      <c r="A29" t="s">
        <v>379</v>
      </c>
      <c r="B29" t="s">
        <v>380</v>
      </c>
      <c r="C29" t="s">
        <v>59</v>
      </c>
      <c r="D29" s="10">
        <v>187</v>
      </c>
      <c r="E29" t="s">
        <v>60</v>
      </c>
      <c r="G29" t="s">
        <v>381</v>
      </c>
      <c r="H29" t="s">
        <v>382</v>
      </c>
      <c r="I29" t="s">
        <v>383</v>
      </c>
      <c r="J29" t="s">
        <v>384</v>
      </c>
      <c r="K29" t="s">
        <v>385</v>
      </c>
      <c r="L29" t="s">
        <v>142</v>
      </c>
      <c r="M29" t="s">
        <v>143</v>
      </c>
      <c r="N29" t="s">
        <v>144</v>
      </c>
      <c r="O29" t="s">
        <v>145</v>
      </c>
      <c r="AY29" t="s">
        <v>386</v>
      </c>
      <c r="AZ29" t="str">
        <f>VLOOKUP(A29,'[1]SQL script 7 (1)'!$D$4:$F$1079,3,FALSE)</f>
        <v>Revenue - Grassland</v>
      </c>
      <c r="BA29" t="s">
        <v>71</v>
      </c>
      <c r="BB29">
        <v>187</v>
      </c>
      <c r="BC29" t="s">
        <v>72</v>
      </c>
      <c r="BD29" s="7">
        <v>45292</v>
      </c>
      <c r="BE29" s="7">
        <v>2958465</v>
      </c>
      <c r="BF29">
        <v>1</v>
      </c>
    </row>
    <row r="30" spans="1:58" ht="17.25" customHeight="1">
      <c r="A30" t="s">
        <v>387</v>
      </c>
      <c r="B30" t="s">
        <v>388</v>
      </c>
      <c r="C30" t="s">
        <v>59</v>
      </c>
      <c r="D30" s="10">
        <v>385</v>
      </c>
      <c r="E30" t="s">
        <v>60</v>
      </c>
      <c r="F30" t="s">
        <v>389</v>
      </c>
      <c r="G30" t="s">
        <v>390</v>
      </c>
      <c r="H30" t="s">
        <v>390</v>
      </c>
      <c r="I30" s="4" t="e">
        <v>#VALUE!</v>
      </c>
      <c r="J30" t="s">
        <v>391</v>
      </c>
      <c r="K30" t="s">
        <v>392</v>
      </c>
      <c r="L30" t="s">
        <v>119</v>
      </c>
      <c r="M30" t="s">
        <v>94</v>
      </c>
      <c r="N30" t="s">
        <v>393</v>
      </c>
      <c r="O30" t="s">
        <v>394</v>
      </c>
      <c r="Z30">
        <v>1</v>
      </c>
      <c r="AY30" t="s">
        <v>395</v>
      </c>
      <c r="AZ30" t="str">
        <f>VLOOKUP(A30,'[1]SQL script 7 (1)'!$D$4:$F$1079,3,FALSE)</f>
        <v>Revenue - Agroforestry</v>
      </c>
      <c r="BA30" t="s">
        <v>71</v>
      </c>
      <c r="BB30">
        <v>385</v>
      </c>
      <c r="BC30" t="s">
        <v>72</v>
      </c>
      <c r="BD30" s="7">
        <v>45292</v>
      </c>
      <c r="BE30" s="7">
        <v>2958465</v>
      </c>
      <c r="BF30">
        <v>1</v>
      </c>
    </row>
    <row r="31" spans="1:58" ht="17.25" customHeight="1">
      <c r="A31" t="s">
        <v>396</v>
      </c>
      <c r="B31" t="s">
        <v>397</v>
      </c>
      <c r="C31" t="s">
        <v>59</v>
      </c>
      <c r="D31" s="10">
        <v>652</v>
      </c>
      <c r="E31" t="s">
        <v>398</v>
      </c>
      <c r="G31" t="s">
        <v>399</v>
      </c>
      <c r="H31" t="s">
        <v>400</v>
      </c>
      <c r="I31" t="s">
        <v>104</v>
      </c>
      <c r="J31" t="s">
        <v>401</v>
      </c>
      <c r="K31" t="s">
        <v>402</v>
      </c>
      <c r="L31" t="s">
        <v>403</v>
      </c>
      <c r="M31" t="s">
        <v>404</v>
      </c>
      <c r="N31" t="s">
        <v>405</v>
      </c>
      <c r="O31" t="s">
        <v>406</v>
      </c>
      <c r="AY31" t="s">
        <v>407</v>
      </c>
      <c r="AZ31" t="str">
        <f>VLOOKUP(A31,'[1]SQL script 7 (1)'!$D$4:$F$1079,3,FALSE)</f>
        <v>Revenue - Nutrient management</v>
      </c>
      <c r="BA31" t="s">
        <v>71</v>
      </c>
      <c r="BB31">
        <v>652</v>
      </c>
      <c r="BC31" t="s">
        <v>408</v>
      </c>
      <c r="BD31" s="7">
        <v>45292</v>
      </c>
      <c r="BE31" s="7">
        <v>2958465</v>
      </c>
      <c r="BF31">
        <v>1</v>
      </c>
    </row>
    <row r="32" spans="1:58" ht="17.25" customHeight="1">
      <c r="A32" t="s">
        <v>409</v>
      </c>
      <c r="B32" t="s">
        <v>410</v>
      </c>
      <c r="C32" t="s">
        <v>59</v>
      </c>
      <c r="D32" s="10">
        <v>1129</v>
      </c>
      <c r="E32" t="s">
        <v>411</v>
      </c>
      <c r="G32" t="s">
        <v>412</v>
      </c>
      <c r="H32" t="s">
        <v>413</v>
      </c>
      <c r="I32" t="s">
        <v>104</v>
      </c>
      <c r="J32" t="s">
        <v>414</v>
      </c>
      <c r="K32" t="s">
        <v>415</v>
      </c>
      <c r="L32" t="s">
        <v>416</v>
      </c>
      <c r="M32" t="s">
        <v>417</v>
      </c>
      <c r="N32" t="s">
        <v>418</v>
      </c>
      <c r="O32" t="s">
        <v>419</v>
      </c>
      <c r="AY32" t="s">
        <v>420</v>
      </c>
      <c r="AZ32" t="str">
        <f>VLOOKUP(A32,'[1]SQL script 7 (1)'!$D$4:$F$1079,3,FALSE)</f>
        <v>Revenue - Integrated pest management</v>
      </c>
      <c r="BA32" t="s">
        <v>71</v>
      </c>
      <c r="BB32">
        <v>1129</v>
      </c>
      <c r="BC32" t="s">
        <v>408</v>
      </c>
      <c r="BD32" s="7">
        <v>45292</v>
      </c>
      <c r="BE32" s="7">
        <v>2958465</v>
      </c>
      <c r="BF32">
        <v>1</v>
      </c>
    </row>
    <row r="33" spans="1:58" ht="17.25" customHeight="1">
      <c r="A33" t="s">
        <v>421</v>
      </c>
      <c r="B33" t="s">
        <v>422</v>
      </c>
      <c r="C33" t="s">
        <v>59</v>
      </c>
      <c r="D33" s="10">
        <v>28</v>
      </c>
      <c r="E33" t="s">
        <v>60</v>
      </c>
      <c r="G33" t="s">
        <v>423</v>
      </c>
      <c r="H33" t="s">
        <v>424</v>
      </c>
      <c r="I33" t="s">
        <v>425</v>
      </c>
      <c r="J33" t="s">
        <v>426</v>
      </c>
      <c r="K33" t="s">
        <v>427</v>
      </c>
      <c r="L33" t="s">
        <v>66</v>
      </c>
      <c r="M33" t="s">
        <v>428</v>
      </c>
      <c r="N33" t="s">
        <v>144</v>
      </c>
      <c r="O33" t="s">
        <v>429</v>
      </c>
      <c r="AY33" t="s">
        <v>430</v>
      </c>
      <c r="AZ33" t="str">
        <f>VLOOKUP(A33,'[1]SQL script 7 (1)'!$D$4:$F$1079,3,FALSE)</f>
        <v>Revenue - Grassland</v>
      </c>
      <c r="BA33" t="s">
        <v>71</v>
      </c>
      <c r="BB33">
        <v>28</v>
      </c>
      <c r="BC33" t="s">
        <v>72</v>
      </c>
      <c r="BD33" s="7">
        <v>45292</v>
      </c>
      <c r="BE33" s="7">
        <v>2958465</v>
      </c>
      <c r="BF33">
        <v>1</v>
      </c>
    </row>
    <row r="34" spans="1:58" ht="17.25" customHeight="1">
      <c r="A34" t="s">
        <v>431</v>
      </c>
      <c r="B34" t="s">
        <v>432</v>
      </c>
      <c r="C34" t="s">
        <v>59</v>
      </c>
      <c r="D34" s="10">
        <v>92</v>
      </c>
      <c r="E34" t="s">
        <v>60</v>
      </c>
      <c r="G34" t="s">
        <v>433</v>
      </c>
      <c r="H34" t="s">
        <v>434</v>
      </c>
      <c r="I34" t="s">
        <v>435</v>
      </c>
      <c r="J34" t="s">
        <v>436</v>
      </c>
      <c r="K34" t="s">
        <v>437</v>
      </c>
      <c r="L34" t="s">
        <v>142</v>
      </c>
      <c r="M34" t="s">
        <v>438</v>
      </c>
      <c r="N34" t="s">
        <v>439</v>
      </c>
      <c r="O34" t="s">
        <v>440</v>
      </c>
      <c r="AY34" t="s">
        <v>441</v>
      </c>
      <c r="AZ34" t="str">
        <f>VLOOKUP(A34,'[1]SQL script 7 (1)'!$D$4:$F$1079,3,FALSE)</f>
        <v>Revenue - Species recovery and management</v>
      </c>
      <c r="BA34" t="s">
        <v>98</v>
      </c>
      <c r="BB34">
        <v>92</v>
      </c>
      <c r="BC34" t="s">
        <v>72</v>
      </c>
      <c r="BD34" s="7">
        <v>45292</v>
      </c>
      <c r="BE34" s="7">
        <v>2958465</v>
      </c>
      <c r="BF34">
        <v>1</v>
      </c>
    </row>
    <row r="35" spans="1:58" ht="17.25" customHeight="1">
      <c r="A35" t="s">
        <v>442</v>
      </c>
      <c r="B35" t="s">
        <v>443</v>
      </c>
      <c r="C35" t="s">
        <v>59</v>
      </c>
      <c r="D35" s="10">
        <v>1072</v>
      </c>
      <c r="E35" t="s">
        <v>60</v>
      </c>
      <c r="G35" t="s">
        <v>444</v>
      </c>
      <c r="H35" t="s">
        <v>445</v>
      </c>
      <c r="I35" t="s">
        <v>446</v>
      </c>
      <c r="J35" t="s">
        <v>447</v>
      </c>
      <c r="K35" t="s">
        <v>448</v>
      </c>
      <c r="L35" t="s">
        <v>449</v>
      </c>
      <c r="M35" t="s">
        <v>67</v>
      </c>
      <c r="N35" t="s">
        <v>450</v>
      </c>
      <c r="O35" t="s">
        <v>451</v>
      </c>
      <c r="AY35" t="s">
        <v>452</v>
      </c>
      <c r="AZ35" t="str">
        <f>VLOOKUP(A35,'[1]SQL script 7 (1)'!$D$4:$F$1079,3,FALSE)</f>
        <v>Revenue - Arable</v>
      </c>
      <c r="BA35" t="s">
        <v>71</v>
      </c>
      <c r="BB35">
        <v>1072</v>
      </c>
      <c r="BC35" t="s">
        <v>72</v>
      </c>
      <c r="BD35" s="7">
        <v>45292</v>
      </c>
      <c r="BE35" s="7">
        <v>2958465</v>
      </c>
      <c r="BF35">
        <v>1</v>
      </c>
    </row>
    <row r="36" spans="1:58" ht="17.25" customHeight="1">
      <c r="A36" t="s">
        <v>453</v>
      </c>
      <c r="B36" t="s">
        <v>454</v>
      </c>
      <c r="C36" t="s">
        <v>59</v>
      </c>
      <c r="D36" s="10">
        <v>350</v>
      </c>
      <c r="E36" t="s">
        <v>60</v>
      </c>
      <c r="G36" t="s">
        <v>455</v>
      </c>
      <c r="H36" t="s">
        <v>456</v>
      </c>
      <c r="I36" t="s">
        <v>457</v>
      </c>
      <c r="J36" t="s">
        <v>458</v>
      </c>
      <c r="K36" t="s">
        <v>459</v>
      </c>
      <c r="L36" t="s">
        <v>66</v>
      </c>
      <c r="M36" t="s">
        <v>460</v>
      </c>
      <c r="N36" t="s">
        <v>461</v>
      </c>
      <c r="O36" t="s">
        <v>462</v>
      </c>
      <c r="AY36" t="s">
        <v>463</v>
      </c>
      <c r="AZ36" t="str">
        <f>VLOOKUP(A36,'[1]SQL script 7 (1)'!$D$4:$F$1079,3,FALSE)</f>
        <v>Revenue - Successional areas and scrub</v>
      </c>
      <c r="BA36" t="s">
        <v>71</v>
      </c>
      <c r="BB36">
        <v>350</v>
      </c>
      <c r="BC36" t="s">
        <v>72</v>
      </c>
      <c r="BD36" s="7">
        <v>45292</v>
      </c>
      <c r="BE36" s="7">
        <v>2958465</v>
      </c>
      <c r="BF36">
        <v>1</v>
      </c>
    </row>
    <row r="37" spans="1:58" ht="17.25" customHeight="1">
      <c r="A37" t="s">
        <v>464</v>
      </c>
      <c r="B37" t="s">
        <v>465</v>
      </c>
      <c r="C37" t="s">
        <v>59</v>
      </c>
      <c r="D37" s="10">
        <v>589</v>
      </c>
      <c r="E37" t="s">
        <v>60</v>
      </c>
      <c r="G37" t="s">
        <v>466</v>
      </c>
      <c r="H37" t="s">
        <v>467</v>
      </c>
      <c r="I37" t="s">
        <v>468</v>
      </c>
      <c r="J37" t="s">
        <v>469</v>
      </c>
      <c r="K37" t="s">
        <v>470</v>
      </c>
      <c r="L37" t="s">
        <v>471</v>
      </c>
      <c r="M37" t="s">
        <v>472</v>
      </c>
      <c r="N37" t="s">
        <v>473</v>
      </c>
      <c r="O37" t="s">
        <v>474</v>
      </c>
      <c r="AY37" t="s">
        <v>475</v>
      </c>
      <c r="AZ37" t="str">
        <f>VLOOKUP(A37,'[1]SQL script 7 (1)'!$D$4:$F$1079,3,FALSE)</f>
        <v>Revenue - Arable</v>
      </c>
      <c r="BA37" t="s">
        <v>71</v>
      </c>
      <c r="BB37">
        <v>589</v>
      </c>
      <c r="BC37" t="s">
        <v>72</v>
      </c>
      <c r="BD37" s="7">
        <v>45292</v>
      </c>
      <c r="BE37" s="7">
        <v>2958465</v>
      </c>
      <c r="BF37">
        <v>1</v>
      </c>
    </row>
    <row r="38" spans="1:58" ht="17.25" customHeight="1">
      <c r="A38" t="s">
        <v>476</v>
      </c>
      <c r="B38" t="s">
        <v>477</v>
      </c>
      <c r="C38" t="s">
        <v>59</v>
      </c>
      <c r="D38" s="10">
        <v>146</v>
      </c>
      <c r="E38" t="s">
        <v>60</v>
      </c>
      <c r="G38" t="s">
        <v>478</v>
      </c>
      <c r="H38" t="s">
        <v>479</v>
      </c>
      <c r="I38" t="s">
        <v>435</v>
      </c>
      <c r="J38" t="s">
        <v>436</v>
      </c>
      <c r="K38" t="s">
        <v>480</v>
      </c>
      <c r="L38" t="s">
        <v>142</v>
      </c>
      <c r="M38" t="s">
        <v>438</v>
      </c>
      <c r="N38" t="s">
        <v>481</v>
      </c>
      <c r="O38" t="s">
        <v>440</v>
      </c>
      <c r="AY38" t="s">
        <v>482</v>
      </c>
      <c r="AZ38" t="str">
        <f>VLOOKUP(A38,'[1]SQL script 7 (1)'!$D$4:$F$1079,3,FALSE)</f>
        <v>Revenue - Species recovery and management</v>
      </c>
      <c r="BA38" t="s">
        <v>98</v>
      </c>
      <c r="BB38">
        <v>146</v>
      </c>
      <c r="BC38" t="s">
        <v>72</v>
      </c>
      <c r="BD38" s="7">
        <v>45292</v>
      </c>
      <c r="BE38" s="7">
        <v>2958465</v>
      </c>
      <c r="BF38">
        <v>1</v>
      </c>
    </row>
    <row r="39" spans="1:58" ht="17.25" customHeight="1">
      <c r="A39" t="s">
        <v>483</v>
      </c>
      <c r="B39" t="s">
        <v>484</v>
      </c>
      <c r="C39" t="s">
        <v>59</v>
      </c>
      <c r="D39" s="10">
        <v>739</v>
      </c>
      <c r="E39" t="s">
        <v>60</v>
      </c>
      <c r="G39" t="s">
        <v>485</v>
      </c>
      <c r="H39" t="s">
        <v>486</v>
      </c>
      <c r="I39" t="s">
        <v>487</v>
      </c>
      <c r="J39" t="s">
        <v>488</v>
      </c>
      <c r="K39" t="s">
        <v>489</v>
      </c>
      <c r="L39" t="s">
        <v>490</v>
      </c>
      <c r="M39" t="s">
        <v>81</v>
      </c>
      <c r="N39" t="s">
        <v>491</v>
      </c>
      <c r="O39" t="s">
        <v>492</v>
      </c>
      <c r="AY39" t="s">
        <v>493</v>
      </c>
      <c r="AZ39" t="str">
        <f>VLOOKUP(A39,'[1]SQL script 7 (1)'!$D$4:$F$1079,3,FALSE)</f>
        <v>Revenue - Arable</v>
      </c>
      <c r="BA39" t="s">
        <v>71</v>
      </c>
      <c r="BB39">
        <v>739</v>
      </c>
      <c r="BC39" t="s">
        <v>72</v>
      </c>
      <c r="BD39" s="7">
        <v>45292</v>
      </c>
      <c r="BE39" s="7">
        <v>2958465</v>
      </c>
      <c r="BF39">
        <v>1</v>
      </c>
    </row>
    <row r="40" spans="1:58" ht="17.25" customHeight="1">
      <c r="A40" t="s">
        <v>494</v>
      </c>
      <c r="B40" t="s">
        <v>495</v>
      </c>
      <c r="C40" t="s">
        <v>59</v>
      </c>
      <c r="D40" t="s">
        <v>104</v>
      </c>
      <c r="G40" t="s">
        <v>496</v>
      </c>
      <c r="H40" t="s">
        <v>497</v>
      </c>
      <c r="I40" t="s">
        <v>498</v>
      </c>
      <c r="J40" t="s">
        <v>499</v>
      </c>
      <c r="K40" t="s">
        <v>500</v>
      </c>
      <c r="L40" t="s">
        <v>501</v>
      </c>
      <c r="M40" t="s">
        <v>502</v>
      </c>
      <c r="N40" t="s">
        <v>503</v>
      </c>
      <c r="O40" t="s">
        <v>504</v>
      </c>
      <c r="AY40" t="s">
        <v>505</v>
      </c>
      <c r="AZ40" t="str">
        <f>VLOOKUP(A40,'[1]SQL script 7 (1)'!$D$4:$F$1079,3,FALSE)</f>
        <v>Revenue - Lakes/Ponds/Ditches</v>
      </c>
      <c r="BA40" t="s">
        <v>71</v>
      </c>
      <c r="BB40">
        <v>4</v>
      </c>
      <c r="BC40" t="s">
        <v>506</v>
      </c>
      <c r="BD40" s="7">
        <v>45292</v>
      </c>
      <c r="BE40" s="7">
        <v>2958465</v>
      </c>
      <c r="BF40">
        <v>1</v>
      </c>
    </row>
    <row r="41" spans="1:58" ht="17.25" customHeight="1">
      <c r="A41" t="s">
        <v>507</v>
      </c>
      <c r="B41" t="s">
        <v>508</v>
      </c>
      <c r="C41" t="s">
        <v>59</v>
      </c>
      <c r="D41" s="10">
        <v>121</v>
      </c>
      <c r="E41" t="s">
        <v>60</v>
      </c>
      <c r="G41" t="s">
        <v>509</v>
      </c>
      <c r="H41" t="s">
        <v>510</v>
      </c>
      <c r="I41" t="s">
        <v>511</v>
      </c>
      <c r="J41" t="s">
        <v>512</v>
      </c>
      <c r="K41" t="s">
        <v>513</v>
      </c>
      <c r="L41" t="s">
        <v>66</v>
      </c>
      <c r="M41" t="s">
        <v>143</v>
      </c>
      <c r="N41" t="s">
        <v>514</v>
      </c>
      <c r="O41" t="s">
        <v>515</v>
      </c>
      <c r="AY41" t="s">
        <v>516</v>
      </c>
      <c r="AZ41" t="str">
        <f>VLOOKUP(A41,'[1]SQL script 7 (1)'!$D$4:$F$1079,3,FALSE)</f>
        <v>Revenue - Grassland</v>
      </c>
      <c r="BA41" t="s">
        <v>71</v>
      </c>
      <c r="BB41">
        <v>121</v>
      </c>
      <c r="BC41" t="s">
        <v>72</v>
      </c>
      <c r="BD41" s="7">
        <v>45292</v>
      </c>
      <c r="BE41" s="7">
        <v>2958465</v>
      </c>
      <c r="BF41">
        <v>1</v>
      </c>
    </row>
    <row r="42" spans="1:58" ht="17.25" customHeight="1">
      <c r="A42" t="s">
        <v>517</v>
      </c>
      <c r="B42" t="s">
        <v>518</v>
      </c>
      <c r="C42" t="s">
        <v>87</v>
      </c>
      <c r="D42" s="10">
        <v>588</v>
      </c>
      <c r="E42" t="s">
        <v>60</v>
      </c>
      <c r="G42" t="s">
        <v>519</v>
      </c>
      <c r="H42" t="s">
        <v>520</v>
      </c>
      <c r="I42" t="s">
        <v>457</v>
      </c>
      <c r="J42" t="s">
        <v>521</v>
      </c>
      <c r="K42" t="s">
        <v>522</v>
      </c>
      <c r="L42" t="s">
        <v>93</v>
      </c>
      <c r="M42" t="s">
        <v>67</v>
      </c>
      <c r="N42" t="s">
        <v>523</v>
      </c>
      <c r="O42" t="s">
        <v>524</v>
      </c>
      <c r="AY42" t="s">
        <v>525</v>
      </c>
      <c r="AZ42" t="str">
        <f>VLOOKUP(A42,'[1]SQL script 7 (1)'!$D$4:$F$1079,3,FALSE)</f>
        <v>Revenue - Successional areas and scrub</v>
      </c>
      <c r="BA42" t="s">
        <v>71</v>
      </c>
      <c r="BB42">
        <v>588</v>
      </c>
      <c r="BC42" t="s">
        <v>72</v>
      </c>
      <c r="BD42" s="7">
        <v>45292</v>
      </c>
      <c r="BE42" s="7">
        <v>2958465</v>
      </c>
      <c r="BF42">
        <v>1</v>
      </c>
    </row>
    <row r="43" spans="1:58" ht="17.25" customHeight="1">
      <c r="A43" t="s">
        <v>526</v>
      </c>
      <c r="B43" t="s">
        <v>527</v>
      </c>
      <c r="C43" t="s">
        <v>59</v>
      </c>
      <c r="D43" s="10">
        <v>515</v>
      </c>
      <c r="E43" t="s">
        <v>60</v>
      </c>
      <c r="F43" t="s">
        <v>528</v>
      </c>
      <c r="G43" t="s">
        <v>306</v>
      </c>
      <c r="H43" t="s">
        <v>306</v>
      </c>
      <c r="I43" s="4" t="e">
        <v>#VALUE!</v>
      </c>
      <c r="J43" t="s">
        <v>529</v>
      </c>
      <c r="K43" t="s">
        <v>530</v>
      </c>
      <c r="L43" t="s">
        <v>531</v>
      </c>
      <c r="M43" t="s">
        <v>67</v>
      </c>
      <c r="N43" t="s">
        <v>532</v>
      </c>
      <c r="O43" t="s">
        <v>533</v>
      </c>
      <c r="AY43" t="s">
        <v>534</v>
      </c>
      <c r="AZ43" t="str">
        <f>VLOOKUP(A43,'[1]SQL script 7 (1)'!$D$4:$F$1079,3,FALSE)</f>
        <v>Revenue - Arable</v>
      </c>
      <c r="BA43" t="s">
        <v>71</v>
      </c>
      <c r="BB43">
        <v>515</v>
      </c>
      <c r="BC43" t="s">
        <v>72</v>
      </c>
      <c r="BD43" s="7">
        <v>45292</v>
      </c>
      <c r="BE43" s="7">
        <v>2958465</v>
      </c>
      <c r="BF43">
        <v>1</v>
      </c>
    </row>
    <row r="44" spans="1:58" ht="17.25" customHeight="1">
      <c r="A44" t="s">
        <v>535</v>
      </c>
      <c r="B44" t="s">
        <v>536</v>
      </c>
      <c r="C44" t="s">
        <v>59</v>
      </c>
      <c r="D44" s="10">
        <v>27</v>
      </c>
      <c r="E44" t="s">
        <v>149</v>
      </c>
      <c r="F44" t="s">
        <v>537</v>
      </c>
      <c r="G44" t="s">
        <v>538</v>
      </c>
      <c r="H44" t="s">
        <v>539</v>
      </c>
      <c r="I44" t="s">
        <v>540</v>
      </c>
      <c r="J44" t="s">
        <v>541</v>
      </c>
      <c r="K44" t="s">
        <v>542</v>
      </c>
      <c r="L44" t="s">
        <v>543</v>
      </c>
      <c r="M44" t="s">
        <v>544</v>
      </c>
      <c r="N44" t="s">
        <v>545</v>
      </c>
      <c r="O44" t="s">
        <v>546</v>
      </c>
      <c r="AY44" t="s">
        <v>547</v>
      </c>
      <c r="AZ44" t="str">
        <f>VLOOKUP(A44,'[1]SQL script 7 (1)'!$D$4:$F$1079,3,FALSE)</f>
        <v>Revenue - Boundaries</v>
      </c>
      <c r="BA44" t="s">
        <v>71</v>
      </c>
      <c r="BB44">
        <v>27</v>
      </c>
      <c r="BC44" t="s">
        <v>506</v>
      </c>
      <c r="BD44" s="7">
        <v>45292</v>
      </c>
      <c r="BE44" s="7">
        <v>2958465</v>
      </c>
      <c r="BF44">
        <v>1</v>
      </c>
    </row>
    <row r="45" spans="1:58" ht="17.25" customHeight="1">
      <c r="A45" t="s">
        <v>548</v>
      </c>
      <c r="B45" t="s">
        <v>549</v>
      </c>
      <c r="C45" t="s">
        <v>87</v>
      </c>
      <c r="D45" s="10">
        <v>156</v>
      </c>
      <c r="E45" t="s">
        <v>60</v>
      </c>
      <c r="G45" t="s">
        <v>550</v>
      </c>
      <c r="H45" t="s">
        <v>551</v>
      </c>
      <c r="I45" t="s">
        <v>552</v>
      </c>
      <c r="J45" t="s">
        <v>553</v>
      </c>
      <c r="K45" t="s">
        <v>554</v>
      </c>
      <c r="L45" t="s">
        <v>555</v>
      </c>
      <c r="M45" t="s">
        <v>556</v>
      </c>
      <c r="N45" t="s">
        <v>557</v>
      </c>
      <c r="O45" t="s">
        <v>104</v>
      </c>
      <c r="AY45" t="s">
        <v>558</v>
      </c>
      <c r="AZ45" t="str">
        <f>VLOOKUP(A45,'[1]SQL script 7 (1)'!$D$4:$F$1079,3,FALSE)</f>
        <v>Revenue - Improving soil health</v>
      </c>
      <c r="BA45" t="s">
        <v>71</v>
      </c>
      <c r="BB45">
        <v>156</v>
      </c>
      <c r="BC45" t="s">
        <v>72</v>
      </c>
      <c r="BD45" s="7">
        <v>45292</v>
      </c>
      <c r="BE45" s="7">
        <v>2958465</v>
      </c>
      <c r="BF45">
        <v>1</v>
      </c>
    </row>
    <row r="46" spans="1:58" ht="17.25" customHeight="1">
      <c r="A46" t="s">
        <v>559</v>
      </c>
      <c r="B46" t="s">
        <v>560</v>
      </c>
      <c r="C46" t="s">
        <v>59</v>
      </c>
      <c r="D46" s="10">
        <v>203</v>
      </c>
      <c r="E46" t="s">
        <v>60</v>
      </c>
      <c r="G46" t="s">
        <v>561</v>
      </c>
      <c r="H46" t="s">
        <v>562</v>
      </c>
      <c r="I46" t="s">
        <v>563</v>
      </c>
      <c r="J46" t="s">
        <v>564</v>
      </c>
      <c r="K46" t="s">
        <v>565</v>
      </c>
      <c r="L46" t="s">
        <v>566</v>
      </c>
      <c r="M46" t="s">
        <v>472</v>
      </c>
      <c r="N46" t="s">
        <v>567</v>
      </c>
      <c r="O46" t="s">
        <v>568</v>
      </c>
      <c r="AY46" t="s">
        <v>569</v>
      </c>
      <c r="AZ46" t="str">
        <f>VLOOKUP(A46,'[1]SQL script 7 (1)'!$D$4:$F$1079,3,FALSE)</f>
        <v>Revenue - Improving soil health</v>
      </c>
      <c r="BA46" t="s">
        <v>71</v>
      </c>
      <c r="BB46">
        <v>203</v>
      </c>
      <c r="BC46" t="s">
        <v>72</v>
      </c>
      <c r="BD46" s="7">
        <v>45292</v>
      </c>
      <c r="BE46" s="7">
        <v>2958465</v>
      </c>
      <c r="BF46">
        <v>1</v>
      </c>
    </row>
    <row r="47" spans="1:58" ht="17.25" customHeight="1">
      <c r="A47" t="s">
        <v>570</v>
      </c>
      <c r="B47" t="s">
        <v>571</v>
      </c>
      <c r="C47" t="s">
        <v>59</v>
      </c>
      <c r="D47" s="10">
        <v>115</v>
      </c>
      <c r="E47" t="s">
        <v>60</v>
      </c>
      <c r="G47" t="s">
        <v>572</v>
      </c>
      <c r="H47" t="s">
        <v>573</v>
      </c>
      <c r="I47" t="s">
        <v>574</v>
      </c>
      <c r="J47" t="s">
        <v>575</v>
      </c>
      <c r="K47" t="s">
        <v>576</v>
      </c>
      <c r="L47" t="s">
        <v>577</v>
      </c>
      <c r="M47" t="s">
        <v>578</v>
      </c>
      <c r="N47" t="s">
        <v>579</v>
      </c>
      <c r="O47" t="s">
        <v>104</v>
      </c>
      <c r="AY47" t="s">
        <v>580</v>
      </c>
      <c r="AZ47" t="str">
        <f>VLOOKUP(A47,'[1]SQL script 7 (1)'!$D$4:$F$1079,3,FALSE)</f>
        <v>Revenue - Improving soil health</v>
      </c>
      <c r="BA47" t="s">
        <v>71</v>
      </c>
      <c r="BB47">
        <v>115</v>
      </c>
      <c r="BC47" t="s">
        <v>72</v>
      </c>
      <c r="BD47" s="7">
        <v>45292</v>
      </c>
      <c r="BE47" s="7">
        <v>2958465</v>
      </c>
      <c r="BF47">
        <v>1</v>
      </c>
    </row>
    <row r="48" spans="1:58" ht="17.25" customHeight="1">
      <c r="A48" t="s">
        <v>581</v>
      </c>
      <c r="B48" t="s">
        <v>582</v>
      </c>
      <c r="C48" t="s">
        <v>59</v>
      </c>
      <c r="D48" s="10">
        <v>333</v>
      </c>
      <c r="E48" t="s">
        <v>60</v>
      </c>
      <c r="G48" t="s">
        <v>583</v>
      </c>
      <c r="H48" t="s">
        <v>584</v>
      </c>
      <c r="I48" t="s">
        <v>585</v>
      </c>
      <c r="J48" t="s">
        <v>586</v>
      </c>
      <c r="K48" t="s">
        <v>587</v>
      </c>
      <c r="L48" t="s">
        <v>66</v>
      </c>
      <c r="M48" t="s">
        <v>67</v>
      </c>
      <c r="N48" t="s">
        <v>588</v>
      </c>
      <c r="O48" t="s">
        <v>589</v>
      </c>
      <c r="AY48" t="s">
        <v>590</v>
      </c>
      <c r="AZ48" t="str">
        <f>VLOOKUP(A48,'[1]SQL script 7 (1)'!$D$4:$F$1079,3,FALSE)</f>
        <v>Revenue - Grassland</v>
      </c>
      <c r="BA48" t="s">
        <v>71</v>
      </c>
      <c r="BB48">
        <v>333</v>
      </c>
      <c r="BC48" t="s">
        <v>72</v>
      </c>
      <c r="BD48" s="7">
        <v>45292</v>
      </c>
      <c r="BE48" s="7">
        <v>2958465</v>
      </c>
      <c r="BF48">
        <v>1</v>
      </c>
    </row>
    <row r="49" spans="1:58" ht="17.25" customHeight="1">
      <c r="A49" t="s">
        <v>591</v>
      </c>
      <c r="B49" t="s">
        <v>592</v>
      </c>
      <c r="C49" t="s">
        <v>59</v>
      </c>
      <c r="D49" s="10">
        <v>58</v>
      </c>
      <c r="E49" t="s">
        <v>60</v>
      </c>
      <c r="G49" t="s">
        <v>593</v>
      </c>
      <c r="H49" t="s">
        <v>594</v>
      </c>
      <c r="I49" t="s">
        <v>595</v>
      </c>
      <c r="J49" t="s">
        <v>596</v>
      </c>
      <c r="K49" t="s">
        <v>597</v>
      </c>
      <c r="L49" t="s">
        <v>598</v>
      </c>
      <c r="M49" t="s">
        <v>472</v>
      </c>
      <c r="N49" t="s">
        <v>599</v>
      </c>
      <c r="O49" t="s">
        <v>600</v>
      </c>
      <c r="AY49" t="s">
        <v>601</v>
      </c>
      <c r="AZ49" t="str">
        <f>VLOOKUP(A49,'[1]SQL script 7 (1)'!$D$4:$F$1079,3,FALSE)</f>
        <v>Revenue - Arable</v>
      </c>
      <c r="BA49" t="s">
        <v>71</v>
      </c>
      <c r="BB49">
        <v>58</v>
      </c>
      <c r="BC49" t="s">
        <v>72</v>
      </c>
      <c r="BD49" s="7">
        <v>45292</v>
      </c>
      <c r="BE49" s="7">
        <v>2958465</v>
      </c>
      <c r="BF49">
        <v>1</v>
      </c>
    </row>
    <row r="50" spans="1:58" ht="17.25" customHeight="1">
      <c r="A50" t="s">
        <v>602</v>
      </c>
      <c r="B50" t="s">
        <v>603</v>
      </c>
      <c r="C50" t="s">
        <v>59</v>
      </c>
      <c r="D50" s="10">
        <v>396</v>
      </c>
      <c r="E50" t="s">
        <v>60</v>
      </c>
      <c r="G50" t="s">
        <v>604</v>
      </c>
      <c r="H50" t="s">
        <v>605</v>
      </c>
      <c r="I50" t="s">
        <v>606</v>
      </c>
      <c r="J50" t="s">
        <v>607</v>
      </c>
      <c r="K50" t="s">
        <v>608</v>
      </c>
      <c r="L50" t="s">
        <v>119</v>
      </c>
      <c r="M50" t="s">
        <v>609</v>
      </c>
      <c r="N50" t="s">
        <v>342</v>
      </c>
      <c r="O50" t="s">
        <v>104</v>
      </c>
      <c r="AY50" t="s">
        <v>610</v>
      </c>
      <c r="AZ50" t="str">
        <f>VLOOKUP(A50,'[1]SQL script 7 (1)'!$D$4:$F$1079,3,FALSE)</f>
        <v>Revenue - Improving soil health</v>
      </c>
      <c r="BA50" t="s">
        <v>71</v>
      </c>
      <c r="BB50">
        <v>396</v>
      </c>
      <c r="BC50" t="s">
        <v>72</v>
      </c>
      <c r="BD50" s="7">
        <v>45292</v>
      </c>
      <c r="BE50" s="7">
        <v>2958465</v>
      </c>
      <c r="BF50">
        <v>1</v>
      </c>
    </row>
    <row r="51" spans="1:58" ht="17.25" customHeight="1">
      <c r="A51" t="s">
        <v>611</v>
      </c>
      <c r="B51" t="s">
        <v>612</v>
      </c>
      <c r="C51" t="s">
        <v>59</v>
      </c>
      <c r="D51" s="10">
        <v>11</v>
      </c>
      <c r="E51" t="s">
        <v>149</v>
      </c>
      <c r="F51" t="s">
        <v>613</v>
      </c>
      <c r="G51" t="s">
        <v>614</v>
      </c>
      <c r="H51" t="s">
        <v>615</v>
      </c>
      <c r="I51" t="s">
        <v>616</v>
      </c>
      <c r="J51" t="s">
        <v>617</v>
      </c>
      <c r="K51" t="s">
        <v>618</v>
      </c>
      <c r="L51" t="s">
        <v>619</v>
      </c>
      <c r="M51" t="s">
        <v>544</v>
      </c>
      <c r="N51" t="s">
        <v>620</v>
      </c>
      <c r="O51" t="s">
        <v>621</v>
      </c>
      <c r="AY51" t="s">
        <v>622</v>
      </c>
      <c r="AZ51" t="str">
        <f>VLOOKUP(A51,'[1]SQL script 7 (1)'!$D$4:$F$1079,3,FALSE)</f>
        <v>Revenue - Boundaries</v>
      </c>
      <c r="BA51" t="s">
        <v>71</v>
      </c>
      <c r="BB51">
        <v>11</v>
      </c>
      <c r="BC51" t="s">
        <v>506</v>
      </c>
      <c r="BD51" s="7">
        <v>45292</v>
      </c>
      <c r="BE51" s="7">
        <v>2958465</v>
      </c>
      <c r="BF51">
        <v>1</v>
      </c>
    </row>
    <row r="52" spans="1:58" ht="17.25" customHeight="1">
      <c r="A52" t="s">
        <v>623</v>
      </c>
      <c r="B52" t="s">
        <v>624</v>
      </c>
      <c r="C52" t="s">
        <v>59</v>
      </c>
      <c r="D52" s="10">
        <v>115</v>
      </c>
      <c r="E52" t="s">
        <v>60</v>
      </c>
      <c r="G52" t="s">
        <v>572</v>
      </c>
      <c r="H52" t="s">
        <v>573</v>
      </c>
      <c r="I52" t="s">
        <v>625</v>
      </c>
      <c r="J52" t="s">
        <v>626</v>
      </c>
      <c r="K52" t="s">
        <v>627</v>
      </c>
      <c r="L52" t="s">
        <v>179</v>
      </c>
      <c r="M52" t="s">
        <v>628</v>
      </c>
      <c r="N52" t="s">
        <v>629</v>
      </c>
      <c r="O52" t="s">
        <v>104</v>
      </c>
      <c r="AY52" t="s">
        <v>630</v>
      </c>
      <c r="AZ52" t="str">
        <f>VLOOKUP(A52,'[1]SQL script 7 (1)'!$D$4:$F$1079,3,FALSE)</f>
        <v>Revenue - Improving soil health</v>
      </c>
      <c r="BA52" t="s">
        <v>71</v>
      </c>
      <c r="BB52">
        <v>115</v>
      </c>
      <c r="BC52" t="s">
        <v>72</v>
      </c>
      <c r="BD52" s="7">
        <v>45292</v>
      </c>
      <c r="BE52" s="7">
        <v>2958465</v>
      </c>
      <c r="BF52">
        <v>1</v>
      </c>
    </row>
    <row r="53" spans="1:58" ht="17.25" customHeight="1">
      <c r="A53" t="s">
        <v>631</v>
      </c>
      <c r="B53" t="s">
        <v>632</v>
      </c>
      <c r="C53" t="s">
        <v>87</v>
      </c>
      <c r="D53" s="10">
        <v>489</v>
      </c>
      <c r="E53" t="s">
        <v>60</v>
      </c>
      <c r="G53" t="s">
        <v>633</v>
      </c>
      <c r="H53" t="s">
        <v>634</v>
      </c>
      <c r="I53" t="e">
        <v>#VALUE!</v>
      </c>
      <c r="J53" t="s">
        <v>635</v>
      </c>
      <c r="K53" t="s">
        <v>636</v>
      </c>
      <c r="L53" t="s">
        <v>637</v>
      </c>
      <c r="M53" t="s">
        <v>638</v>
      </c>
      <c r="N53" t="s">
        <v>639</v>
      </c>
      <c r="O53" t="s">
        <v>640</v>
      </c>
      <c r="AY53" t="s">
        <v>641</v>
      </c>
      <c r="AZ53" t="str">
        <f>VLOOKUP(A53,'[1]SQL script 7 (1)'!$D$4:$F$1079,3,FALSE)</f>
        <v>Revenue - Improving soil health</v>
      </c>
      <c r="BA53" t="s">
        <v>71</v>
      </c>
      <c r="BB53">
        <v>489</v>
      </c>
      <c r="BC53" t="s">
        <v>72</v>
      </c>
      <c r="BD53" s="7">
        <v>45292</v>
      </c>
      <c r="BE53" s="7">
        <v>2958465</v>
      </c>
      <c r="BF53">
        <v>1</v>
      </c>
    </row>
    <row r="54" spans="1:58" ht="17.25" customHeight="1">
      <c r="A54" t="s">
        <v>642</v>
      </c>
      <c r="B54" t="s">
        <v>643</v>
      </c>
      <c r="C54" t="s">
        <v>59</v>
      </c>
      <c r="D54" s="10">
        <v>765</v>
      </c>
      <c r="E54" t="s">
        <v>60</v>
      </c>
      <c r="G54" t="s">
        <v>644</v>
      </c>
      <c r="H54" t="s">
        <v>645</v>
      </c>
      <c r="I54" t="s">
        <v>646</v>
      </c>
      <c r="J54" t="s">
        <v>647</v>
      </c>
      <c r="K54" t="s">
        <v>648</v>
      </c>
      <c r="L54" t="s">
        <v>649</v>
      </c>
      <c r="M54" t="s">
        <v>650</v>
      </c>
      <c r="N54" t="s">
        <v>651</v>
      </c>
      <c r="O54" t="s">
        <v>652</v>
      </c>
      <c r="AY54" t="s">
        <v>653</v>
      </c>
      <c r="AZ54" t="str">
        <f>VLOOKUP(A54,'[1]SQL script 7 (1)'!$D$4:$F$1079,3,FALSE)</f>
        <v>Revenue - Improving soil health</v>
      </c>
      <c r="BA54" t="s">
        <v>71</v>
      </c>
      <c r="BB54">
        <v>765</v>
      </c>
      <c r="BC54" t="s">
        <v>72</v>
      </c>
      <c r="BD54" s="7">
        <v>45292</v>
      </c>
      <c r="BE54" s="7">
        <v>2958465</v>
      </c>
      <c r="BF54">
        <v>1</v>
      </c>
    </row>
    <row r="55" spans="1:58" ht="17.25" customHeight="1">
      <c r="A55" t="s">
        <v>654</v>
      </c>
      <c r="B55" t="s">
        <v>655</v>
      </c>
      <c r="C55" t="s">
        <v>59</v>
      </c>
      <c r="D55" s="10">
        <v>596</v>
      </c>
      <c r="E55" t="s">
        <v>60</v>
      </c>
      <c r="G55" t="s">
        <v>656</v>
      </c>
      <c r="H55" t="s">
        <v>657</v>
      </c>
      <c r="I55" t="s">
        <v>658</v>
      </c>
      <c r="J55" t="s">
        <v>659</v>
      </c>
      <c r="K55" t="s">
        <v>660</v>
      </c>
      <c r="L55" t="s">
        <v>661</v>
      </c>
      <c r="M55" t="s">
        <v>662</v>
      </c>
      <c r="N55" t="s">
        <v>663</v>
      </c>
      <c r="O55" t="s">
        <v>664</v>
      </c>
      <c r="AY55" t="s">
        <v>665</v>
      </c>
      <c r="AZ55" t="str">
        <f>VLOOKUP(A55,'[1]SQL script 7 (1)'!$D$4:$F$1079,3,FALSE)</f>
        <v>Revenue - Arable</v>
      </c>
      <c r="BA55" t="s">
        <v>71</v>
      </c>
      <c r="BB55">
        <v>596</v>
      </c>
      <c r="BC55" t="s">
        <v>72</v>
      </c>
      <c r="BD55" s="7">
        <v>45292</v>
      </c>
      <c r="BE55" s="7">
        <v>2958465</v>
      </c>
      <c r="BF55">
        <v>1</v>
      </c>
    </row>
    <row r="56" spans="1:58" ht="17.25" customHeight="1">
      <c r="A56" t="s">
        <v>666</v>
      </c>
      <c r="B56" t="s">
        <v>667</v>
      </c>
      <c r="C56" t="s">
        <v>59</v>
      </c>
      <c r="D56" s="10">
        <v>428</v>
      </c>
      <c r="E56" t="s">
        <v>60</v>
      </c>
      <c r="F56" t="s">
        <v>668</v>
      </c>
      <c r="G56" t="s">
        <v>669</v>
      </c>
      <c r="H56" t="s">
        <v>670</v>
      </c>
      <c r="I56" t="s">
        <v>671</v>
      </c>
      <c r="J56" t="s">
        <v>672</v>
      </c>
      <c r="K56" t="s">
        <v>673</v>
      </c>
      <c r="L56" t="s">
        <v>674</v>
      </c>
      <c r="M56" t="s">
        <v>67</v>
      </c>
      <c r="N56" t="s">
        <v>675</v>
      </c>
      <c r="O56" t="s">
        <v>676</v>
      </c>
      <c r="AY56" t="s">
        <v>677</v>
      </c>
      <c r="AZ56" t="str">
        <f>VLOOKUP(A56,'[1]SQL script 7 (1)'!$D$4:$F$1079,3,FALSE)</f>
        <v>Revenue - Arable</v>
      </c>
      <c r="BA56" t="s">
        <v>71</v>
      </c>
      <c r="BB56">
        <v>428</v>
      </c>
      <c r="BC56" t="s">
        <v>72</v>
      </c>
      <c r="BD56" s="7">
        <v>45292</v>
      </c>
      <c r="BE56" s="7">
        <v>2958465</v>
      </c>
      <c r="BF56">
        <v>1</v>
      </c>
    </row>
    <row r="57" spans="1:58" ht="17.25" customHeight="1">
      <c r="A57" t="s">
        <v>678</v>
      </c>
      <c r="B57" t="s">
        <v>679</v>
      </c>
      <c r="C57" t="s">
        <v>59</v>
      </c>
      <c r="D57" s="10">
        <v>163</v>
      </c>
      <c r="E57" t="s">
        <v>60</v>
      </c>
      <c r="G57" t="s">
        <v>680</v>
      </c>
      <c r="H57" t="s">
        <v>681</v>
      </c>
      <c r="I57" t="s">
        <v>682</v>
      </c>
      <c r="J57" t="s">
        <v>269</v>
      </c>
      <c r="K57" t="s">
        <v>683</v>
      </c>
      <c r="L57" t="s">
        <v>271</v>
      </c>
      <c r="M57" t="s">
        <v>272</v>
      </c>
      <c r="N57" t="s">
        <v>684</v>
      </c>
      <c r="O57" t="s">
        <v>274</v>
      </c>
      <c r="AY57" t="s">
        <v>685</v>
      </c>
      <c r="AZ57" t="str">
        <f>VLOOKUP(A57,'[1]SQL script 7 (1)'!$D$4:$F$1079,3,FALSE)</f>
        <v>Revenue - Improving soil health</v>
      </c>
      <c r="BA57" t="s">
        <v>71</v>
      </c>
      <c r="BB57">
        <v>163</v>
      </c>
      <c r="BC57" t="s">
        <v>72</v>
      </c>
      <c r="BD57" s="7">
        <v>45292</v>
      </c>
      <c r="BE57" s="7">
        <v>2958465</v>
      </c>
      <c r="BF57">
        <v>1</v>
      </c>
    </row>
    <row r="58" spans="1:58" ht="17.25" customHeight="1">
      <c r="A58" t="s">
        <v>686</v>
      </c>
      <c r="B58" t="s">
        <v>687</v>
      </c>
      <c r="C58" t="s">
        <v>59</v>
      </c>
      <c r="D58" s="10">
        <v>707</v>
      </c>
      <c r="E58" t="s">
        <v>688</v>
      </c>
      <c r="G58" t="s">
        <v>689</v>
      </c>
      <c r="H58" t="s">
        <v>690</v>
      </c>
      <c r="I58" t="s">
        <v>691</v>
      </c>
      <c r="J58" t="s">
        <v>692</v>
      </c>
      <c r="K58" t="s">
        <v>693</v>
      </c>
      <c r="L58" t="s">
        <v>694</v>
      </c>
      <c r="M58" t="s">
        <v>650</v>
      </c>
      <c r="N58" t="s">
        <v>695</v>
      </c>
      <c r="O58" t="s">
        <v>696</v>
      </c>
      <c r="AY58" t="s">
        <v>697</v>
      </c>
      <c r="AZ58" t="str">
        <f>VLOOKUP(A58,'[1]SQL script 7 (1)'!$D$4:$F$1079,3,FALSE)</f>
        <v>Revenue - Improving soil health</v>
      </c>
      <c r="BA58" t="s">
        <v>71</v>
      </c>
      <c r="BB58">
        <v>707</v>
      </c>
      <c r="BC58" t="s">
        <v>72</v>
      </c>
      <c r="BD58" s="7">
        <v>45292</v>
      </c>
      <c r="BE58" s="7">
        <v>2958465</v>
      </c>
      <c r="BF58">
        <v>1</v>
      </c>
    </row>
    <row r="59" spans="1:58" ht="17.25" customHeight="1">
      <c r="A59" t="s">
        <v>698</v>
      </c>
      <c r="B59" t="s">
        <v>699</v>
      </c>
      <c r="C59" t="s">
        <v>59</v>
      </c>
      <c r="D59" s="10">
        <v>235</v>
      </c>
      <c r="E59" t="s">
        <v>700</v>
      </c>
      <c r="G59" t="s">
        <v>701</v>
      </c>
      <c r="H59" t="s">
        <v>702</v>
      </c>
      <c r="I59" t="s">
        <v>703</v>
      </c>
      <c r="J59" t="s">
        <v>704</v>
      </c>
      <c r="K59" t="s">
        <v>705</v>
      </c>
      <c r="L59" t="s">
        <v>531</v>
      </c>
      <c r="M59" t="s">
        <v>67</v>
      </c>
      <c r="N59" t="s">
        <v>706</v>
      </c>
      <c r="O59" t="s">
        <v>707</v>
      </c>
      <c r="AY59" t="s">
        <v>708</v>
      </c>
      <c r="AZ59" t="str">
        <f>VLOOKUP(A59,'[1]SQL script 7 (1)'!$D$4:$F$1079,3,FALSE)</f>
        <v>Revenue - Grassland</v>
      </c>
      <c r="BA59" t="s">
        <v>71</v>
      </c>
      <c r="BB59">
        <v>235</v>
      </c>
      <c r="BC59" t="s">
        <v>72</v>
      </c>
      <c r="BD59" s="7">
        <v>45292</v>
      </c>
      <c r="BE59" s="7">
        <v>2958465</v>
      </c>
      <c r="BF59">
        <v>1</v>
      </c>
    </row>
    <row r="60" spans="1:58" ht="17.25" customHeight="1">
      <c r="A60" t="s">
        <v>709</v>
      </c>
      <c r="B60" t="s">
        <v>710</v>
      </c>
      <c r="C60" t="s">
        <v>87</v>
      </c>
      <c r="D60" s="10">
        <v>55</v>
      </c>
      <c r="E60" t="s">
        <v>60</v>
      </c>
      <c r="G60" t="s">
        <v>711</v>
      </c>
      <c r="H60" t="s">
        <v>712</v>
      </c>
      <c r="I60" t="s">
        <v>713</v>
      </c>
      <c r="J60" t="s">
        <v>714</v>
      </c>
      <c r="K60" t="s">
        <v>715</v>
      </c>
      <c r="L60" t="s">
        <v>716</v>
      </c>
      <c r="M60" t="s">
        <v>67</v>
      </c>
      <c r="N60" t="s">
        <v>717</v>
      </c>
      <c r="O60" t="s">
        <v>718</v>
      </c>
      <c r="AY60" t="s">
        <v>719</v>
      </c>
      <c r="AZ60" t="str">
        <f>VLOOKUP(A60,'[1]SQL script 7 (1)'!$D$4:$F$1079,3,FALSE)</f>
        <v>Revenue - Heritage</v>
      </c>
      <c r="BA60" t="s">
        <v>71</v>
      </c>
      <c r="BB60">
        <v>55</v>
      </c>
      <c r="BC60" t="s">
        <v>72</v>
      </c>
      <c r="BD60" s="7">
        <v>45292</v>
      </c>
      <c r="BE60" s="7">
        <v>2958465</v>
      </c>
      <c r="BF60">
        <v>1</v>
      </c>
    </row>
    <row r="61" spans="1:58" ht="17.25" customHeight="1">
      <c r="A61" t="s">
        <v>720</v>
      </c>
      <c r="B61" t="s">
        <v>721</v>
      </c>
      <c r="C61" t="s">
        <v>59</v>
      </c>
      <c r="D61" s="10">
        <v>747</v>
      </c>
      <c r="E61" t="s">
        <v>60</v>
      </c>
      <c r="G61" t="s">
        <v>722</v>
      </c>
      <c r="H61" t="s">
        <v>723</v>
      </c>
      <c r="I61" t="s">
        <v>724</v>
      </c>
      <c r="J61" t="s">
        <v>725</v>
      </c>
      <c r="K61" t="s">
        <v>726</v>
      </c>
      <c r="L61" t="s">
        <v>727</v>
      </c>
      <c r="M61" t="s">
        <v>81</v>
      </c>
      <c r="N61" t="s">
        <v>728</v>
      </c>
      <c r="O61" t="s">
        <v>729</v>
      </c>
      <c r="AY61" t="s">
        <v>730</v>
      </c>
      <c r="AZ61" t="str">
        <f>VLOOKUP(A61,'[1]SQL script 7 (1)'!$D$4:$F$1079,3,FALSE)</f>
        <v>Revenue - Arable</v>
      </c>
      <c r="BA61" t="s">
        <v>71</v>
      </c>
      <c r="BB61">
        <v>747</v>
      </c>
      <c r="BC61" t="s">
        <v>72</v>
      </c>
      <c r="BD61" s="7">
        <v>45292</v>
      </c>
      <c r="BE61" s="7">
        <v>2958465</v>
      </c>
      <c r="BF61">
        <v>1</v>
      </c>
    </row>
    <row r="62" spans="1:58" ht="17.25" customHeight="1">
      <c r="A62" t="s">
        <v>731</v>
      </c>
      <c r="B62" t="s">
        <v>732</v>
      </c>
      <c r="C62" t="s">
        <v>87</v>
      </c>
      <c r="D62" s="10">
        <v>311</v>
      </c>
      <c r="E62" t="s">
        <v>60</v>
      </c>
      <c r="G62" t="s">
        <v>733</v>
      </c>
      <c r="H62" t="s">
        <v>734</v>
      </c>
      <c r="I62" t="s">
        <v>735</v>
      </c>
      <c r="J62" t="s">
        <v>736</v>
      </c>
      <c r="K62" t="s">
        <v>737</v>
      </c>
      <c r="L62" t="s">
        <v>738</v>
      </c>
      <c r="M62" t="s">
        <v>739</v>
      </c>
      <c r="N62" t="s">
        <v>740</v>
      </c>
      <c r="O62" t="s">
        <v>741</v>
      </c>
      <c r="AY62" t="s">
        <v>742</v>
      </c>
      <c r="AZ62" t="str">
        <f>VLOOKUP(A62,'[1]SQL script 7 (1)'!$D$4:$F$1079,3,FALSE)</f>
        <v>Revenue - Improving soil health</v>
      </c>
      <c r="BA62" t="s">
        <v>71</v>
      </c>
      <c r="BB62">
        <v>311</v>
      </c>
      <c r="BC62" t="s">
        <v>72</v>
      </c>
      <c r="BD62" s="7">
        <v>45292</v>
      </c>
      <c r="BE62" s="7">
        <v>2958465</v>
      </c>
      <c r="BF62">
        <v>1</v>
      </c>
    </row>
    <row r="63" spans="1:58" ht="17.25" customHeight="1">
      <c r="A63" t="s">
        <v>743</v>
      </c>
      <c r="B63" t="s">
        <v>744</v>
      </c>
      <c r="C63" t="s">
        <v>59</v>
      </c>
      <c r="D63" s="10">
        <v>765</v>
      </c>
      <c r="E63" t="s">
        <v>60</v>
      </c>
      <c r="G63" t="s">
        <v>745</v>
      </c>
      <c r="H63" t="s">
        <v>746</v>
      </c>
      <c r="I63" t="s">
        <v>747</v>
      </c>
      <c r="J63" t="s">
        <v>748</v>
      </c>
      <c r="K63" t="s">
        <v>749</v>
      </c>
      <c r="L63" t="s">
        <v>750</v>
      </c>
      <c r="M63" t="s">
        <v>662</v>
      </c>
      <c r="N63" t="s">
        <v>751</v>
      </c>
      <c r="O63" t="s">
        <v>752</v>
      </c>
      <c r="AY63" t="s">
        <v>753</v>
      </c>
      <c r="AZ63" t="str">
        <f>VLOOKUP(A63,'[1]SQL script 7 (1)'!$D$4:$F$1079,3,FALSE)</f>
        <v>Revenue - Arable</v>
      </c>
      <c r="BA63" t="s">
        <v>71</v>
      </c>
      <c r="BB63">
        <v>765</v>
      </c>
      <c r="BC63" t="s">
        <v>72</v>
      </c>
      <c r="BD63" s="7">
        <v>45292</v>
      </c>
      <c r="BE63" s="7">
        <v>2958465</v>
      </c>
      <c r="BF63">
        <v>1</v>
      </c>
    </row>
    <row r="64" spans="1:58" ht="17.25" customHeight="1">
      <c r="A64" t="s">
        <v>754</v>
      </c>
      <c r="B64" t="s">
        <v>755</v>
      </c>
      <c r="C64" t="s">
        <v>59</v>
      </c>
      <c r="D64" s="10">
        <v>660</v>
      </c>
      <c r="E64" t="s">
        <v>60</v>
      </c>
      <c r="G64" t="s">
        <v>756</v>
      </c>
      <c r="H64" t="s">
        <v>757</v>
      </c>
      <c r="I64" t="s">
        <v>758</v>
      </c>
      <c r="J64" t="s">
        <v>759</v>
      </c>
      <c r="K64" t="s">
        <v>760</v>
      </c>
      <c r="L64" t="s">
        <v>761</v>
      </c>
      <c r="M64" t="s">
        <v>67</v>
      </c>
      <c r="N64" t="s">
        <v>762</v>
      </c>
      <c r="O64" t="s">
        <v>763</v>
      </c>
      <c r="AY64" t="s">
        <v>764</v>
      </c>
      <c r="AZ64" t="str">
        <f>VLOOKUP(A64,'[1]SQL script 7 (1)'!$D$4:$F$1079,3,FALSE)</f>
        <v>Revenue - Arable</v>
      </c>
      <c r="BA64" t="s">
        <v>71</v>
      </c>
      <c r="BB64">
        <v>660</v>
      </c>
      <c r="BC64" t="s">
        <v>72</v>
      </c>
      <c r="BD64" s="7">
        <v>45292</v>
      </c>
      <c r="BE64" s="7">
        <v>2958465</v>
      </c>
      <c r="BF64">
        <v>1</v>
      </c>
    </row>
    <row r="65" spans="1:58" ht="17.25" customHeight="1">
      <c r="A65" t="s">
        <v>765</v>
      </c>
      <c r="B65" t="s">
        <v>766</v>
      </c>
      <c r="C65" t="s">
        <v>87</v>
      </c>
      <c r="D65" s="10">
        <v>2512</v>
      </c>
      <c r="E65" t="s">
        <v>767</v>
      </c>
      <c r="G65" t="s">
        <v>768</v>
      </c>
      <c r="H65" t="s">
        <v>769</v>
      </c>
      <c r="I65" t="s">
        <v>770</v>
      </c>
      <c r="J65" t="s">
        <v>771</v>
      </c>
      <c r="K65" t="s">
        <v>772</v>
      </c>
      <c r="L65" t="s">
        <v>773</v>
      </c>
      <c r="M65" t="s">
        <v>774</v>
      </c>
      <c r="N65" t="s">
        <v>775</v>
      </c>
      <c r="O65" t="s">
        <v>776</v>
      </c>
      <c r="AY65" t="s">
        <v>777</v>
      </c>
      <c r="AZ65" t="str">
        <f>VLOOKUP(A65,'[1]SQL script 7 (1)'!$D$4:$F$1079,3,FALSE)</f>
        <v>Revenue - Heritage</v>
      </c>
      <c r="BA65" t="s">
        <v>71</v>
      </c>
      <c r="BB65">
        <v>2512</v>
      </c>
      <c r="BC65" t="s">
        <v>72</v>
      </c>
      <c r="BD65" s="7">
        <v>45292</v>
      </c>
      <c r="BE65" s="7">
        <v>2958465</v>
      </c>
      <c r="BF65">
        <v>1</v>
      </c>
    </row>
    <row r="66" spans="1:58" ht="17.25" customHeight="1">
      <c r="A66" t="s">
        <v>778</v>
      </c>
      <c r="B66" t="s">
        <v>779</v>
      </c>
      <c r="C66" t="s">
        <v>59</v>
      </c>
      <c r="D66" s="10">
        <v>11</v>
      </c>
      <c r="E66" t="s">
        <v>780</v>
      </c>
      <c r="G66" t="s">
        <v>781</v>
      </c>
      <c r="H66" t="s">
        <v>782</v>
      </c>
      <c r="I66" t="s">
        <v>783</v>
      </c>
      <c r="J66" t="s">
        <v>784</v>
      </c>
      <c r="K66" t="s">
        <v>785</v>
      </c>
      <c r="L66" t="s">
        <v>786</v>
      </c>
      <c r="M66" t="s">
        <v>787</v>
      </c>
      <c r="N66" t="s">
        <v>788</v>
      </c>
      <c r="O66" t="s">
        <v>789</v>
      </c>
      <c r="AY66" t="s">
        <v>790</v>
      </c>
      <c r="AZ66" t="str">
        <f>VLOOKUP(A66,'[1]SQL script 7 (1)'!$D$4:$F$1079,3,FALSE)</f>
        <v>Revenue - Arable</v>
      </c>
      <c r="BA66" t="s">
        <v>71</v>
      </c>
      <c r="BB66">
        <v>11</v>
      </c>
      <c r="BC66" t="s">
        <v>72</v>
      </c>
      <c r="BD66" s="7">
        <v>45292</v>
      </c>
      <c r="BE66" s="7">
        <v>2958465</v>
      </c>
      <c r="BF66">
        <v>1</v>
      </c>
    </row>
    <row r="67" spans="1:58" ht="17.25" customHeight="1">
      <c r="A67" t="s">
        <v>791</v>
      </c>
      <c r="B67" t="s">
        <v>792</v>
      </c>
      <c r="C67" t="s">
        <v>59</v>
      </c>
      <c r="D67" s="10">
        <v>11</v>
      </c>
      <c r="E67" t="s">
        <v>60</v>
      </c>
      <c r="G67" t="s">
        <v>793</v>
      </c>
      <c r="H67" t="s">
        <v>794</v>
      </c>
      <c r="I67" t="s">
        <v>435</v>
      </c>
      <c r="J67" t="s">
        <v>795</v>
      </c>
      <c r="K67" t="s">
        <v>796</v>
      </c>
      <c r="L67" t="s">
        <v>142</v>
      </c>
      <c r="M67" t="s">
        <v>438</v>
      </c>
      <c r="N67" t="s">
        <v>481</v>
      </c>
      <c r="O67" t="s">
        <v>797</v>
      </c>
      <c r="AY67" t="s">
        <v>798</v>
      </c>
      <c r="AZ67" t="str">
        <f>VLOOKUP(A67,'[1]SQL script 7 (1)'!$D$4:$F$1079,3,FALSE)</f>
        <v>Revenue - Species recovery and management</v>
      </c>
      <c r="BA67" t="s">
        <v>98</v>
      </c>
      <c r="BB67">
        <v>11</v>
      </c>
      <c r="BC67" t="s">
        <v>72</v>
      </c>
      <c r="BD67" s="7">
        <v>45292</v>
      </c>
      <c r="BE67" s="7">
        <v>2958465</v>
      </c>
      <c r="BF67">
        <v>1</v>
      </c>
    </row>
    <row r="68" spans="1:58" ht="17.25" customHeight="1">
      <c r="A68" t="s">
        <v>799</v>
      </c>
      <c r="B68" t="s">
        <v>800</v>
      </c>
      <c r="C68" t="s">
        <v>59</v>
      </c>
      <c r="D68" s="10">
        <v>295</v>
      </c>
      <c r="E68" t="s">
        <v>60</v>
      </c>
      <c r="G68" t="s">
        <v>801</v>
      </c>
      <c r="H68" t="s">
        <v>802</v>
      </c>
      <c r="I68" t="s">
        <v>803</v>
      </c>
      <c r="J68" t="s">
        <v>804</v>
      </c>
      <c r="K68" t="s">
        <v>805</v>
      </c>
      <c r="L68" t="s">
        <v>806</v>
      </c>
      <c r="M68" t="s">
        <v>807</v>
      </c>
      <c r="N68" t="s">
        <v>808</v>
      </c>
      <c r="O68" t="s">
        <v>809</v>
      </c>
      <c r="AY68" t="s">
        <v>810</v>
      </c>
      <c r="AZ68" t="str">
        <f>VLOOKUP(A68,'[1]SQL script 7 (1)'!$D$4:$F$1079,3,FALSE)</f>
        <v>Revenue - Grassland</v>
      </c>
      <c r="BA68" t="s">
        <v>71</v>
      </c>
      <c r="BB68">
        <v>295</v>
      </c>
      <c r="BC68" t="s">
        <v>72</v>
      </c>
      <c r="BD68" s="7">
        <v>45292</v>
      </c>
      <c r="BE68" s="7">
        <v>2958465</v>
      </c>
      <c r="BF68">
        <v>1</v>
      </c>
    </row>
    <row r="69" spans="1:58" ht="17.25" customHeight="1">
      <c r="A69" t="s">
        <v>811</v>
      </c>
      <c r="B69" t="s">
        <v>812</v>
      </c>
      <c r="C69" t="s">
        <v>59</v>
      </c>
      <c r="D69" s="10">
        <v>20</v>
      </c>
      <c r="E69" t="s">
        <v>60</v>
      </c>
      <c r="G69" t="s">
        <v>813</v>
      </c>
      <c r="H69" t="s">
        <v>814</v>
      </c>
      <c r="I69" t="s">
        <v>815</v>
      </c>
      <c r="J69" t="s">
        <v>816</v>
      </c>
      <c r="K69" t="s">
        <v>817</v>
      </c>
      <c r="L69" t="s">
        <v>119</v>
      </c>
      <c r="M69" t="s">
        <v>818</v>
      </c>
      <c r="N69" t="s">
        <v>819</v>
      </c>
      <c r="O69" t="s">
        <v>104</v>
      </c>
      <c r="AY69" t="s">
        <v>820</v>
      </c>
      <c r="AZ69" t="str">
        <f>VLOOKUP(A69,'[1]SQL script 7 (1)'!$D$4:$F$1079,3,FALSE)</f>
        <v>Revenue - Organic</v>
      </c>
      <c r="BA69" t="s">
        <v>71</v>
      </c>
      <c r="BB69">
        <v>20</v>
      </c>
      <c r="BC69" t="s">
        <v>72</v>
      </c>
      <c r="BD69" s="7">
        <v>45292</v>
      </c>
      <c r="BE69" s="7">
        <v>2958465</v>
      </c>
      <c r="BF69">
        <v>1</v>
      </c>
    </row>
    <row r="70" spans="1:58" ht="17.25" customHeight="1">
      <c r="A70" t="s">
        <v>821</v>
      </c>
      <c r="B70" t="s">
        <v>822</v>
      </c>
      <c r="C70" t="s">
        <v>823</v>
      </c>
      <c r="D70" s="10">
        <v>96</v>
      </c>
      <c r="E70" t="s">
        <v>60</v>
      </c>
      <c r="G70" t="s">
        <v>824</v>
      </c>
      <c r="H70" t="s">
        <v>825</v>
      </c>
      <c r="I70" t="s">
        <v>826</v>
      </c>
      <c r="J70" t="s">
        <v>827</v>
      </c>
      <c r="K70" t="s">
        <v>828</v>
      </c>
      <c r="L70" t="s">
        <v>829</v>
      </c>
      <c r="M70" t="s">
        <v>830</v>
      </c>
      <c r="N70" t="s">
        <v>831</v>
      </c>
      <c r="O70" t="s">
        <v>104</v>
      </c>
      <c r="AY70" t="s">
        <v>832</v>
      </c>
      <c r="AZ70" t="str">
        <f>VLOOKUP(A70,'[1]SQL script 7 (1)'!$D$4:$F$1079,3,FALSE)</f>
        <v>Revenue - Organic</v>
      </c>
      <c r="BA70" t="s">
        <v>71</v>
      </c>
      <c r="BB70">
        <v>96</v>
      </c>
      <c r="BC70" t="s">
        <v>72</v>
      </c>
      <c r="BD70" s="7">
        <v>45292</v>
      </c>
      <c r="BE70" s="7">
        <v>2958465</v>
      </c>
      <c r="BF70">
        <v>1</v>
      </c>
    </row>
    <row r="71" spans="1:58" ht="17.25" customHeight="1">
      <c r="A71" t="s">
        <v>833</v>
      </c>
      <c r="B71" t="s">
        <v>834</v>
      </c>
      <c r="C71" t="s">
        <v>59</v>
      </c>
      <c r="D71" s="10">
        <v>20</v>
      </c>
      <c r="E71" t="s">
        <v>60</v>
      </c>
      <c r="G71" t="s">
        <v>835</v>
      </c>
      <c r="H71" t="s">
        <v>836</v>
      </c>
      <c r="I71" t="s">
        <v>837</v>
      </c>
      <c r="J71" t="s">
        <v>838</v>
      </c>
      <c r="K71" t="s">
        <v>839</v>
      </c>
      <c r="L71" t="s">
        <v>119</v>
      </c>
      <c r="M71" t="s">
        <v>840</v>
      </c>
      <c r="N71" t="s">
        <v>841</v>
      </c>
      <c r="O71" t="s">
        <v>842</v>
      </c>
      <c r="AY71" t="s">
        <v>843</v>
      </c>
      <c r="AZ71" t="str">
        <f>VLOOKUP(A71,'[1]SQL script 7 (1)'!$D$4:$F$1079,3,FALSE)</f>
        <v>Revenue - Moorland</v>
      </c>
      <c r="BA71" t="s">
        <v>71</v>
      </c>
      <c r="BB71">
        <v>20</v>
      </c>
      <c r="BC71" t="s">
        <v>72</v>
      </c>
      <c r="BD71" s="7">
        <v>45292</v>
      </c>
      <c r="BE71" s="7">
        <v>2958465</v>
      </c>
      <c r="BF71">
        <v>1</v>
      </c>
    </row>
    <row r="72" spans="1:58" ht="17.25" customHeight="1">
      <c r="A72" t="s">
        <v>844</v>
      </c>
      <c r="B72" t="s">
        <v>845</v>
      </c>
      <c r="C72" t="s">
        <v>59</v>
      </c>
      <c r="D72" s="10">
        <v>764</v>
      </c>
      <c r="E72" t="s">
        <v>60</v>
      </c>
      <c r="G72" t="s">
        <v>846</v>
      </c>
      <c r="H72" t="s">
        <v>847</v>
      </c>
      <c r="I72" t="s">
        <v>848</v>
      </c>
      <c r="J72" t="s">
        <v>849</v>
      </c>
      <c r="K72" t="s">
        <v>850</v>
      </c>
      <c r="L72" t="s">
        <v>851</v>
      </c>
      <c r="M72" t="s">
        <v>67</v>
      </c>
      <c r="N72" t="s">
        <v>852</v>
      </c>
      <c r="O72" t="s">
        <v>853</v>
      </c>
      <c r="AY72" t="s">
        <v>854</v>
      </c>
      <c r="AZ72" t="str">
        <f>VLOOKUP(A72,'[1]SQL script 7 (1)'!$D$4:$F$1079,3,FALSE)</f>
        <v>Revenue - Arable</v>
      </c>
      <c r="BA72" t="s">
        <v>71</v>
      </c>
      <c r="BB72">
        <v>764</v>
      </c>
      <c r="BC72" t="s">
        <v>72</v>
      </c>
      <c r="BD72" s="7">
        <v>45292</v>
      </c>
      <c r="BE72" s="7">
        <v>2958465</v>
      </c>
      <c r="BF72">
        <v>1</v>
      </c>
    </row>
    <row r="73" spans="1:58" ht="17.25" customHeight="1">
      <c r="A73" t="s">
        <v>855</v>
      </c>
      <c r="B73" t="s">
        <v>856</v>
      </c>
      <c r="C73" t="s">
        <v>59</v>
      </c>
      <c r="D73" s="10">
        <v>150</v>
      </c>
      <c r="E73" t="s">
        <v>60</v>
      </c>
      <c r="G73" t="s">
        <v>857</v>
      </c>
      <c r="H73" t="s">
        <v>858</v>
      </c>
      <c r="I73" t="s">
        <v>859</v>
      </c>
      <c r="J73" t="s">
        <v>860</v>
      </c>
      <c r="K73" t="s">
        <v>861</v>
      </c>
      <c r="L73" t="s">
        <v>862</v>
      </c>
      <c r="M73" t="s">
        <v>863</v>
      </c>
      <c r="N73" t="s">
        <v>864</v>
      </c>
      <c r="O73" t="s">
        <v>865</v>
      </c>
      <c r="AY73" t="s">
        <v>866</v>
      </c>
      <c r="AZ73" t="str">
        <f>VLOOKUP(A73,'[1]SQL script 7 (1)'!$D$4:$F$1079,3,FALSE)</f>
        <v>Revenue - Precision farming</v>
      </c>
      <c r="BA73" t="s">
        <v>71</v>
      </c>
      <c r="BB73">
        <v>150</v>
      </c>
      <c r="BC73" t="s">
        <v>72</v>
      </c>
      <c r="BD73" s="7">
        <v>45292</v>
      </c>
      <c r="BE73" s="7">
        <v>2958465</v>
      </c>
      <c r="BF73">
        <v>1</v>
      </c>
    </row>
    <row r="74" spans="1:58" ht="17.25" customHeight="1">
      <c r="A74" t="s">
        <v>867</v>
      </c>
      <c r="B74" t="s">
        <v>868</v>
      </c>
      <c r="C74" t="s">
        <v>59</v>
      </c>
      <c r="D74" s="10">
        <v>8</v>
      </c>
      <c r="E74" t="s">
        <v>869</v>
      </c>
      <c r="G74" t="s">
        <v>870</v>
      </c>
      <c r="H74" t="s">
        <v>871</v>
      </c>
      <c r="I74" t="s">
        <v>872</v>
      </c>
      <c r="J74" t="s">
        <v>873</v>
      </c>
      <c r="K74" t="s">
        <v>351</v>
      </c>
      <c r="L74" t="s">
        <v>352</v>
      </c>
      <c r="M74" t="s">
        <v>353</v>
      </c>
      <c r="N74" t="s">
        <v>354</v>
      </c>
      <c r="O74" t="s">
        <v>874</v>
      </c>
      <c r="R74">
        <v>1</v>
      </c>
      <c r="AY74" t="s">
        <v>875</v>
      </c>
      <c r="AZ74" t="str">
        <f>VLOOKUP(A74,'[1]SQL script 7 (1)'!$D$4:$F$1079,3,FALSE)</f>
        <v>Revenue - Heritage</v>
      </c>
      <c r="BA74" t="s">
        <v>71</v>
      </c>
      <c r="BB74">
        <v>80000</v>
      </c>
      <c r="BC74" t="s">
        <v>72</v>
      </c>
      <c r="BD74" s="7">
        <v>45292</v>
      </c>
      <c r="BE74" s="7">
        <v>2958465</v>
      </c>
      <c r="BF74">
        <v>1</v>
      </c>
    </row>
    <row r="75" spans="1:58" ht="17.25" customHeight="1">
      <c r="A75" t="s">
        <v>876</v>
      </c>
      <c r="B75" t="s">
        <v>877</v>
      </c>
      <c r="C75" t="s">
        <v>59</v>
      </c>
      <c r="D75" s="10">
        <v>311</v>
      </c>
      <c r="E75" t="s">
        <v>878</v>
      </c>
      <c r="G75" t="s">
        <v>879</v>
      </c>
      <c r="H75" t="s">
        <v>880</v>
      </c>
      <c r="I75" t="s">
        <v>881</v>
      </c>
      <c r="J75" t="s">
        <v>882</v>
      </c>
      <c r="K75" t="s">
        <v>883</v>
      </c>
      <c r="L75" t="s">
        <v>884</v>
      </c>
      <c r="M75" t="s">
        <v>94</v>
      </c>
      <c r="N75" t="s">
        <v>885</v>
      </c>
      <c r="O75" t="s">
        <v>104</v>
      </c>
      <c r="AY75" t="s">
        <v>886</v>
      </c>
      <c r="AZ75" t="str">
        <f>VLOOKUP(A75,'[1]SQL script 7 (1)'!$D$4:$F$1079,3,FALSE)</f>
        <v>Revenue - Waterbodies</v>
      </c>
      <c r="BA75" t="s">
        <v>71</v>
      </c>
      <c r="BB75">
        <v>311</v>
      </c>
      <c r="BC75" t="s">
        <v>72</v>
      </c>
      <c r="BD75" s="7">
        <v>45292</v>
      </c>
      <c r="BE75" s="7">
        <v>2958465</v>
      </c>
      <c r="BF75">
        <v>1</v>
      </c>
    </row>
    <row r="76" spans="1:58" ht="17.25" customHeight="1">
      <c r="A76" t="s">
        <v>887</v>
      </c>
      <c r="B76" t="s">
        <v>888</v>
      </c>
      <c r="C76" t="s">
        <v>59</v>
      </c>
      <c r="D76" s="11">
        <v>10.6</v>
      </c>
      <c r="E76" t="s">
        <v>889</v>
      </c>
      <c r="G76" t="s">
        <v>890</v>
      </c>
      <c r="H76" t="s">
        <v>891</v>
      </c>
      <c r="I76" t="s">
        <v>104</v>
      </c>
      <c r="J76" t="s">
        <v>892</v>
      </c>
      <c r="K76" t="s">
        <v>893</v>
      </c>
      <c r="L76" t="s">
        <v>894</v>
      </c>
      <c r="M76" t="s">
        <v>895</v>
      </c>
      <c r="N76" t="s">
        <v>896</v>
      </c>
      <c r="O76" t="s">
        <v>897</v>
      </c>
      <c r="AY76" t="s">
        <v>898</v>
      </c>
      <c r="AZ76" t="str">
        <f>VLOOKUP(A76,'[1]SQL script 7 (1)'!$D$4:$F$1079,3,FALSE)</f>
        <v>Revenue - Moorland</v>
      </c>
      <c r="BA76" t="s">
        <v>71</v>
      </c>
      <c r="BB76">
        <v>10.6</v>
      </c>
      <c r="BC76" t="s">
        <v>72</v>
      </c>
      <c r="BD76" s="7">
        <v>45292</v>
      </c>
      <c r="BE76" s="7">
        <v>2958465</v>
      </c>
      <c r="BF76">
        <v>1</v>
      </c>
    </row>
    <row r="77" spans="1:58" ht="17.25" customHeight="1">
      <c r="A77" t="s">
        <v>899</v>
      </c>
      <c r="B77" t="s">
        <v>900</v>
      </c>
      <c r="C77" t="s">
        <v>59</v>
      </c>
      <c r="D77" s="10">
        <v>553</v>
      </c>
      <c r="E77" t="s">
        <v>60</v>
      </c>
      <c r="G77" t="s">
        <v>901</v>
      </c>
      <c r="H77" t="s">
        <v>902</v>
      </c>
      <c r="I77" t="s">
        <v>803</v>
      </c>
      <c r="J77" t="s">
        <v>903</v>
      </c>
      <c r="K77" t="s">
        <v>904</v>
      </c>
      <c r="L77" t="s">
        <v>806</v>
      </c>
      <c r="M77" t="s">
        <v>67</v>
      </c>
      <c r="N77" t="s">
        <v>905</v>
      </c>
      <c r="O77" t="s">
        <v>906</v>
      </c>
      <c r="AY77" t="s">
        <v>907</v>
      </c>
      <c r="AZ77" t="str">
        <f>VLOOKUP(A77,'[1]SQL script 7 (1)'!$D$4:$F$1079,3,FALSE)</f>
        <v>Revenue - Arable</v>
      </c>
      <c r="BA77" t="s">
        <v>71</v>
      </c>
      <c r="BB77">
        <v>553</v>
      </c>
      <c r="BC77" t="s">
        <v>72</v>
      </c>
      <c r="BD77" s="7">
        <v>45292</v>
      </c>
      <c r="BE77" s="7">
        <v>2958465</v>
      </c>
      <c r="BF77">
        <v>1</v>
      </c>
    </row>
    <row r="78" spans="1:58" ht="17.25" customHeight="1">
      <c r="A78" t="s">
        <v>908</v>
      </c>
      <c r="B78" t="s">
        <v>909</v>
      </c>
      <c r="C78" t="s">
        <v>59</v>
      </c>
      <c r="D78" s="10">
        <v>41</v>
      </c>
      <c r="E78" t="s">
        <v>60</v>
      </c>
      <c r="G78" t="s">
        <v>910</v>
      </c>
      <c r="H78" t="s">
        <v>911</v>
      </c>
      <c r="I78" t="s">
        <v>815</v>
      </c>
      <c r="J78" t="s">
        <v>912</v>
      </c>
      <c r="K78" t="s">
        <v>817</v>
      </c>
      <c r="L78" t="s">
        <v>119</v>
      </c>
      <c r="M78" t="s">
        <v>913</v>
      </c>
      <c r="N78" t="s">
        <v>831</v>
      </c>
      <c r="O78" t="s">
        <v>104</v>
      </c>
      <c r="AY78" t="s">
        <v>914</v>
      </c>
      <c r="AZ78" t="str">
        <f>VLOOKUP(A78,'[1]SQL script 7 (1)'!$D$4:$F$1079,3,FALSE)</f>
        <v>Revenue - Organic</v>
      </c>
      <c r="BA78" t="s">
        <v>71</v>
      </c>
      <c r="BB78">
        <v>41</v>
      </c>
      <c r="BC78" t="s">
        <v>72</v>
      </c>
      <c r="BD78" s="7">
        <v>45292</v>
      </c>
      <c r="BE78" s="7">
        <v>2958465</v>
      </c>
      <c r="BF78">
        <v>1</v>
      </c>
    </row>
    <row r="79" spans="1:58" ht="17.25" customHeight="1">
      <c r="A79" t="s">
        <v>915</v>
      </c>
      <c r="B79" t="s">
        <v>916</v>
      </c>
      <c r="C79" t="s">
        <v>59</v>
      </c>
      <c r="D79" s="10">
        <v>66</v>
      </c>
      <c r="E79" t="s">
        <v>60</v>
      </c>
      <c r="G79" t="s">
        <v>917</v>
      </c>
      <c r="H79" t="s">
        <v>918</v>
      </c>
      <c r="I79" t="s">
        <v>837</v>
      </c>
      <c r="J79" t="s">
        <v>919</v>
      </c>
      <c r="K79" t="s">
        <v>920</v>
      </c>
      <c r="L79" t="s">
        <v>119</v>
      </c>
      <c r="M79" t="s">
        <v>840</v>
      </c>
      <c r="N79" t="s">
        <v>921</v>
      </c>
      <c r="O79" t="s">
        <v>922</v>
      </c>
      <c r="AY79" t="s">
        <v>923</v>
      </c>
      <c r="AZ79" t="str">
        <f>VLOOKUP(A79,'[1]SQL script 7 (1)'!$D$4:$F$1079,3,FALSE)</f>
        <v>Revenue - Moorland</v>
      </c>
      <c r="BA79" t="s">
        <v>71</v>
      </c>
      <c r="BB79">
        <v>66</v>
      </c>
      <c r="BC79" t="s">
        <v>72</v>
      </c>
      <c r="BD79" s="7">
        <v>45292</v>
      </c>
      <c r="BE79" s="7">
        <v>2958465</v>
      </c>
      <c r="BF79">
        <v>1</v>
      </c>
    </row>
    <row r="80" spans="1:58" ht="17.25" customHeight="1">
      <c r="A80" t="s">
        <v>924</v>
      </c>
      <c r="B80" t="s">
        <v>925</v>
      </c>
      <c r="C80" t="s">
        <v>87</v>
      </c>
      <c r="D80" s="10">
        <v>215</v>
      </c>
      <c r="E80" t="s">
        <v>60</v>
      </c>
      <c r="G80" t="s">
        <v>926</v>
      </c>
      <c r="H80" t="s">
        <v>927</v>
      </c>
      <c r="I80" t="s">
        <v>928</v>
      </c>
      <c r="J80" t="s">
        <v>929</v>
      </c>
      <c r="K80" t="s">
        <v>930</v>
      </c>
      <c r="L80" t="s">
        <v>716</v>
      </c>
      <c r="M80" t="s">
        <v>931</v>
      </c>
      <c r="N80" t="s">
        <v>932</v>
      </c>
      <c r="O80" t="s">
        <v>933</v>
      </c>
      <c r="AY80" t="s">
        <v>934</v>
      </c>
      <c r="AZ80" t="str">
        <f>VLOOKUP(A80,'[1]SQL script 7 (1)'!$D$4:$F$1079,3,FALSE)</f>
        <v>Revenue - Heritage</v>
      </c>
      <c r="BA80" t="s">
        <v>71</v>
      </c>
      <c r="BB80">
        <v>215</v>
      </c>
      <c r="BC80" t="s">
        <v>72</v>
      </c>
      <c r="BD80" s="7">
        <v>45292</v>
      </c>
      <c r="BE80" s="7">
        <v>2958465</v>
      </c>
      <c r="BF80">
        <v>1</v>
      </c>
    </row>
    <row r="81" spans="1:58" ht="17.25" customHeight="1">
      <c r="A81" t="s">
        <v>935</v>
      </c>
      <c r="B81" t="s">
        <v>936</v>
      </c>
      <c r="C81" t="s">
        <v>823</v>
      </c>
      <c r="D81" s="10">
        <v>187</v>
      </c>
      <c r="E81" t="s">
        <v>60</v>
      </c>
      <c r="G81" t="s">
        <v>937</v>
      </c>
      <c r="H81" t="s">
        <v>938</v>
      </c>
      <c r="I81" t="s">
        <v>826</v>
      </c>
      <c r="J81" t="s">
        <v>939</v>
      </c>
      <c r="K81" t="s">
        <v>828</v>
      </c>
      <c r="L81" t="s">
        <v>829</v>
      </c>
      <c r="M81" t="s">
        <v>940</v>
      </c>
      <c r="N81" t="s">
        <v>941</v>
      </c>
      <c r="O81" t="s">
        <v>104</v>
      </c>
      <c r="AY81" t="s">
        <v>942</v>
      </c>
      <c r="AZ81" t="str">
        <f>VLOOKUP(A81,'[1]SQL script 7 (1)'!$D$4:$F$1079,3,FALSE)</f>
        <v>Revenue - Organic</v>
      </c>
      <c r="BA81" t="s">
        <v>71</v>
      </c>
      <c r="BB81">
        <v>187</v>
      </c>
      <c r="BC81" t="s">
        <v>72</v>
      </c>
      <c r="BD81" s="7">
        <v>45292</v>
      </c>
      <c r="BE81" s="7">
        <v>2958465</v>
      </c>
      <c r="BF81">
        <v>1</v>
      </c>
    </row>
    <row r="82" spans="1:58" ht="17.25" customHeight="1">
      <c r="A82" t="s">
        <v>943</v>
      </c>
      <c r="B82" t="s">
        <v>944</v>
      </c>
      <c r="C82" t="s">
        <v>59</v>
      </c>
      <c r="D82" s="10">
        <v>53</v>
      </c>
      <c r="E82" t="s">
        <v>60</v>
      </c>
      <c r="G82" t="s">
        <v>945</v>
      </c>
      <c r="H82" t="s">
        <v>946</v>
      </c>
      <c r="I82" t="s">
        <v>837</v>
      </c>
      <c r="J82" t="s">
        <v>838</v>
      </c>
      <c r="K82" t="s">
        <v>947</v>
      </c>
      <c r="L82" t="s">
        <v>119</v>
      </c>
      <c r="M82" t="s">
        <v>840</v>
      </c>
      <c r="N82" t="s">
        <v>841</v>
      </c>
      <c r="O82" t="s">
        <v>948</v>
      </c>
      <c r="AY82" t="s">
        <v>949</v>
      </c>
      <c r="AZ82" t="str">
        <f>VLOOKUP(A82,'[1]SQL script 7 (1)'!$D$4:$F$1079,3,FALSE)</f>
        <v>Revenue - Moorland</v>
      </c>
      <c r="BA82" t="s">
        <v>71</v>
      </c>
      <c r="BB82">
        <v>53</v>
      </c>
      <c r="BC82" t="s">
        <v>72</v>
      </c>
      <c r="BD82" s="7">
        <v>45292</v>
      </c>
      <c r="BE82" s="7">
        <v>2958465</v>
      </c>
      <c r="BF82">
        <v>1</v>
      </c>
    </row>
    <row r="83" spans="1:58" ht="17.25" customHeight="1">
      <c r="A83" t="s">
        <v>950</v>
      </c>
      <c r="B83" t="s">
        <v>951</v>
      </c>
      <c r="C83" t="s">
        <v>823</v>
      </c>
      <c r="D83" s="10">
        <v>298</v>
      </c>
      <c r="E83" t="s">
        <v>60</v>
      </c>
      <c r="G83" t="s">
        <v>952</v>
      </c>
      <c r="H83" t="s">
        <v>953</v>
      </c>
      <c r="I83" t="s">
        <v>826</v>
      </c>
      <c r="J83" t="s">
        <v>954</v>
      </c>
      <c r="K83" t="s">
        <v>828</v>
      </c>
      <c r="L83" t="s">
        <v>829</v>
      </c>
      <c r="M83" t="s">
        <v>955</v>
      </c>
      <c r="N83" t="s">
        <v>956</v>
      </c>
      <c r="O83" t="s">
        <v>104</v>
      </c>
      <c r="AY83" t="s">
        <v>957</v>
      </c>
      <c r="AZ83" t="str">
        <f>VLOOKUP(A83,'[1]SQL script 7 (1)'!$D$4:$F$1079,3,FALSE)</f>
        <v>Revenue - Organic</v>
      </c>
      <c r="BA83" t="s">
        <v>71</v>
      </c>
      <c r="BB83">
        <v>298</v>
      </c>
      <c r="BC83" t="s">
        <v>72</v>
      </c>
      <c r="BD83" s="7">
        <v>45292</v>
      </c>
      <c r="BE83" s="7">
        <v>2958465</v>
      </c>
      <c r="BF83">
        <v>1</v>
      </c>
    </row>
    <row r="84" spans="1:58" ht="17.25" customHeight="1">
      <c r="A84" t="s">
        <v>958</v>
      </c>
      <c r="B84" t="s">
        <v>959</v>
      </c>
      <c r="C84" t="s">
        <v>59</v>
      </c>
      <c r="D84" s="10">
        <v>681</v>
      </c>
      <c r="E84" t="s">
        <v>878</v>
      </c>
      <c r="G84" t="s">
        <v>879</v>
      </c>
      <c r="H84" t="s">
        <v>880</v>
      </c>
      <c r="I84" t="s">
        <v>881</v>
      </c>
      <c r="J84" t="s">
        <v>960</v>
      </c>
      <c r="K84" t="s">
        <v>961</v>
      </c>
      <c r="L84" t="s">
        <v>962</v>
      </c>
      <c r="M84" t="s">
        <v>94</v>
      </c>
      <c r="N84" t="s">
        <v>651</v>
      </c>
      <c r="O84" t="s">
        <v>104</v>
      </c>
      <c r="AY84" t="s">
        <v>963</v>
      </c>
      <c r="AZ84" t="str">
        <f>VLOOKUP(A84,'[1]SQL script 7 (1)'!$D$4:$F$1079,3,FALSE)</f>
        <v>Revenue - Waterbodies</v>
      </c>
      <c r="BA84" t="s">
        <v>71</v>
      </c>
      <c r="BB84">
        <v>681</v>
      </c>
      <c r="BC84" t="s">
        <v>72</v>
      </c>
      <c r="BD84" s="7">
        <v>45292</v>
      </c>
      <c r="BE84" s="7">
        <v>2958465</v>
      </c>
      <c r="BF84">
        <v>1</v>
      </c>
    </row>
    <row r="85" spans="1:58" ht="17.25" customHeight="1">
      <c r="A85" t="s">
        <v>964</v>
      </c>
      <c r="B85" t="s">
        <v>965</v>
      </c>
      <c r="C85" t="s">
        <v>59</v>
      </c>
      <c r="D85" s="10">
        <v>7</v>
      </c>
      <c r="E85" t="s">
        <v>60</v>
      </c>
      <c r="G85" t="s">
        <v>966</v>
      </c>
      <c r="H85" t="s">
        <v>967</v>
      </c>
      <c r="I85" t="s">
        <v>435</v>
      </c>
      <c r="J85" t="s">
        <v>795</v>
      </c>
      <c r="K85" t="s">
        <v>968</v>
      </c>
      <c r="L85" t="s">
        <v>142</v>
      </c>
      <c r="M85" t="s">
        <v>438</v>
      </c>
      <c r="N85" t="s">
        <v>481</v>
      </c>
      <c r="O85" t="s">
        <v>969</v>
      </c>
      <c r="AY85" t="s">
        <v>970</v>
      </c>
      <c r="AZ85" t="str">
        <f>VLOOKUP(A85,'[1]SQL script 7 (1)'!$D$4:$F$1079,3,FALSE)</f>
        <v>Revenue - Species recovery and management</v>
      </c>
      <c r="BA85" t="s">
        <v>98</v>
      </c>
      <c r="BB85">
        <v>7</v>
      </c>
      <c r="BC85" t="s">
        <v>72</v>
      </c>
      <c r="BD85" s="7">
        <v>45292</v>
      </c>
      <c r="BE85" s="7">
        <v>2958465</v>
      </c>
      <c r="BF85">
        <v>1</v>
      </c>
    </row>
    <row r="86" spans="1:58" ht="17.25" customHeight="1">
      <c r="A86" t="s">
        <v>971</v>
      </c>
      <c r="B86" t="s">
        <v>972</v>
      </c>
      <c r="C86" t="s">
        <v>59</v>
      </c>
      <c r="D86" s="10">
        <v>43</v>
      </c>
      <c r="E86" t="s">
        <v>60</v>
      </c>
      <c r="G86" t="s">
        <v>973</v>
      </c>
      <c r="H86" t="s">
        <v>974</v>
      </c>
      <c r="I86" t="s">
        <v>975</v>
      </c>
      <c r="J86" t="s">
        <v>976</v>
      </c>
      <c r="K86" t="s">
        <v>977</v>
      </c>
      <c r="L86" t="s">
        <v>119</v>
      </c>
      <c r="M86" t="s">
        <v>978</v>
      </c>
      <c r="N86" t="s">
        <v>979</v>
      </c>
      <c r="O86" t="s">
        <v>980</v>
      </c>
      <c r="AY86" t="s">
        <v>981</v>
      </c>
      <c r="AZ86" t="str">
        <f>VLOOKUP(A86,'[1]SQL script 7 (1)'!$D$4:$F$1079,3,FALSE)</f>
        <v>Revenue - Precision farming</v>
      </c>
      <c r="BA86" t="s">
        <v>71</v>
      </c>
      <c r="BB86">
        <v>43</v>
      </c>
      <c r="BC86" t="s">
        <v>72</v>
      </c>
      <c r="BD86" s="7">
        <v>45292</v>
      </c>
      <c r="BE86" s="7">
        <v>2958465</v>
      </c>
      <c r="BF86">
        <v>1</v>
      </c>
    </row>
    <row r="87" spans="1:58" ht="17.25" customHeight="1">
      <c r="A87" t="s">
        <v>982</v>
      </c>
      <c r="B87" t="s">
        <v>983</v>
      </c>
      <c r="C87" t="s">
        <v>59</v>
      </c>
      <c r="D87" s="10">
        <v>1920</v>
      </c>
      <c r="E87" t="s">
        <v>60</v>
      </c>
      <c r="G87" t="s">
        <v>984</v>
      </c>
      <c r="H87" t="s">
        <v>985</v>
      </c>
      <c r="I87" t="s">
        <v>815</v>
      </c>
      <c r="J87" t="s">
        <v>986</v>
      </c>
      <c r="K87" t="s">
        <v>987</v>
      </c>
      <c r="L87" t="s">
        <v>119</v>
      </c>
      <c r="M87" t="s">
        <v>988</v>
      </c>
      <c r="N87" t="s">
        <v>989</v>
      </c>
      <c r="O87" t="s">
        <v>104</v>
      </c>
      <c r="AY87" t="s">
        <v>990</v>
      </c>
      <c r="AZ87" t="str">
        <f>VLOOKUP(A87,'[1]SQL script 7 (1)'!$D$4:$F$1079,3,FALSE)</f>
        <v>Revenue - Organic</v>
      </c>
      <c r="BA87" t="s">
        <v>71</v>
      </c>
      <c r="BB87">
        <v>1920</v>
      </c>
      <c r="BC87" t="s">
        <v>72</v>
      </c>
      <c r="BD87" s="7">
        <v>45292</v>
      </c>
      <c r="BE87" s="7">
        <v>2958465</v>
      </c>
      <c r="BF87">
        <v>1</v>
      </c>
    </row>
    <row r="88" spans="1:58" ht="17.25" customHeight="1">
      <c r="A88" t="s">
        <v>991</v>
      </c>
      <c r="B88" t="s">
        <v>992</v>
      </c>
      <c r="C88" t="s">
        <v>59</v>
      </c>
      <c r="D88" s="10">
        <v>33</v>
      </c>
      <c r="E88" t="s">
        <v>60</v>
      </c>
      <c r="G88" t="s">
        <v>993</v>
      </c>
      <c r="H88" t="s">
        <v>994</v>
      </c>
      <c r="I88" t="s">
        <v>995</v>
      </c>
      <c r="J88" t="s">
        <v>996</v>
      </c>
      <c r="K88" t="s">
        <v>997</v>
      </c>
      <c r="L88" t="s">
        <v>119</v>
      </c>
      <c r="M88" t="s">
        <v>998</v>
      </c>
      <c r="N88" t="s">
        <v>999</v>
      </c>
      <c r="O88" t="s">
        <v>1000</v>
      </c>
      <c r="AY88" t="s">
        <v>1001</v>
      </c>
      <c r="AZ88" t="str">
        <f>VLOOKUP(A88,'[1]SQL script 7 (1)'!$D$4:$F$1079,3,FALSE)</f>
        <v>Revenue - Moorland</v>
      </c>
      <c r="BA88" t="s">
        <v>71</v>
      </c>
      <c r="BB88">
        <v>33</v>
      </c>
      <c r="BC88" t="s">
        <v>72</v>
      </c>
      <c r="BD88" s="7">
        <v>45292</v>
      </c>
      <c r="BE88" s="7">
        <v>2958465</v>
      </c>
      <c r="BF88">
        <v>1</v>
      </c>
    </row>
    <row r="89" spans="1:58" ht="17.25" customHeight="1">
      <c r="A89" t="s">
        <v>1002</v>
      </c>
      <c r="B89" t="s">
        <v>1003</v>
      </c>
      <c r="C89" t="s">
        <v>59</v>
      </c>
      <c r="D89" s="10">
        <v>132</v>
      </c>
      <c r="E89" t="s">
        <v>60</v>
      </c>
      <c r="G89" t="s">
        <v>1004</v>
      </c>
      <c r="H89" t="s">
        <v>1005</v>
      </c>
      <c r="I89" t="s">
        <v>815</v>
      </c>
      <c r="J89" t="s">
        <v>1006</v>
      </c>
      <c r="K89" t="s">
        <v>817</v>
      </c>
      <c r="L89" t="s">
        <v>119</v>
      </c>
      <c r="M89" t="s">
        <v>1007</v>
      </c>
      <c r="N89" t="s">
        <v>956</v>
      </c>
      <c r="O89" t="s">
        <v>104</v>
      </c>
      <c r="AY89" t="s">
        <v>1008</v>
      </c>
      <c r="AZ89" t="str">
        <f>VLOOKUP(A89,'[1]SQL script 7 (1)'!$D$4:$F$1079,3,FALSE)</f>
        <v>Revenue - Organic</v>
      </c>
      <c r="BA89" t="s">
        <v>71</v>
      </c>
      <c r="BB89">
        <v>132</v>
      </c>
      <c r="BC89" t="s">
        <v>72</v>
      </c>
      <c r="BD89" s="7">
        <v>45292</v>
      </c>
      <c r="BE89" s="7">
        <v>2958465</v>
      </c>
      <c r="BF89">
        <v>1</v>
      </c>
    </row>
    <row r="90" spans="1:58" ht="17.25" customHeight="1">
      <c r="A90" t="s">
        <v>1009</v>
      </c>
      <c r="B90" t="s">
        <v>1010</v>
      </c>
      <c r="C90" t="s">
        <v>1011</v>
      </c>
      <c r="D90" s="10">
        <v>1920</v>
      </c>
      <c r="E90" t="s">
        <v>60</v>
      </c>
      <c r="G90" t="s">
        <v>1012</v>
      </c>
      <c r="H90" t="s">
        <v>1013</v>
      </c>
      <c r="I90" t="s">
        <v>826</v>
      </c>
      <c r="J90" t="s">
        <v>1014</v>
      </c>
      <c r="K90" t="s">
        <v>1015</v>
      </c>
      <c r="L90" t="s">
        <v>829</v>
      </c>
      <c r="M90" t="s">
        <v>1016</v>
      </c>
      <c r="N90" t="s">
        <v>989</v>
      </c>
      <c r="O90" t="s">
        <v>104</v>
      </c>
      <c r="AY90" t="s">
        <v>1017</v>
      </c>
      <c r="AZ90" t="str">
        <f>VLOOKUP(A90,'[1]SQL script 7 (1)'!$D$4:$F$1079,3,FALSE)</f>
        <v>Revenue - Organic</v>
      </c>
      <c r="BA90" t="s">
        <v>71</v>
      </c>
      <c r="BB90">
        <v>1920</v>
      </c>
      <c r="BC90" t="s">
        <v>72</v>
      </c>
      <c r="BD90" s="7">
        <v>45292</v>
      </c>
      <c r="BE90" s="7">
        <v>2958465</v>
      </c>
      <c r="BF90">
        <v>1</v>
      </c>
    </row>
    <row r="91" spans="1:58" ht="17.25" customHeight="1">
      <c r="A91" t="s">
        <v>1018</v>
      </c>
      <c r="B91" t="s">
        <v>1019</v>
      </c>
      <c r="C91" t="s">
        <v>59</v>
      </c>
      <c r="D91" s="10">
        <v>101</v>
      </c>
      <c r="E91" t="s">
        <v>60</v>
      </c>
      <c r="G91" t="s">
        <v>1020</v>
      </c>
      <c r="H91" t="s">
        <v>1021</v>
      </c>
      <c r="I91" t="s">
        <v>1022</v>
      </c>
      <c r="J91" t="s">
        <v>1023</v>
      </c>
      <c r="K91" t="s">
        <v>1024</v>
      </c>
      <c r="L91" t="s">
        <v>1025</v>
      </c>
      <c r="M91" t="s">
        <v>1026</v>
      </c>
      <c r="N91" t="s">
        <v>1027</v>
      </c>
      <c r="O91" t="s">
        <v>1028</v>
      </c>
      <c r="AY91" t="s">
        <v>1029</v>
      </c>
      <c r="AZ91" t="str">
        <f>VLOOKUP(A91,'[1]SQL script 7 (1)'!$D$4:$F$1079,3,FALSE)</f>
        <v>Revenue - Precision farming</v>
      </c>
      <c r="BA91" t="s">
        <v>71</v>
      </c>
      <c r="BB91">
        <v>101</v>
      </c>
      <c r="BC91" t="s">
        <v>72</v>
      </c>
      <c r="BD91" s="7">
        <v>45292</v>
      </c>
      <c r="BE91" s="7">
        <v>2958465</v>
      </c>
      <c r="BF91">
        <v>1</v>
      </c>
    </row>
    <row r="92" spans="1:58" ht="17.25" customHeight="1">
      <c r="A92" t="s">
        <v>1030</v>
      </c>
      <c r="B92" t="s">
        <v>1031</v>
      </c>
      <c r="C92" t="s">
        <v>59</v>
      </c>
      <c r="D92" s="10">
        <v>707</v>
      </c>
      <c r="E92" t="s">
        <v>60</v>
      </c>
      <c r="G92" t="s">
        <v>1032</v>
      </c>
      <c r="H92" t="s">
        <v>1033</v>
      </c>
      <c r="I92" t="s">
        <v>815</v>
      </c>
      <c r="J92" t="s">
        <v>1034</v>
      </c>
      <c r="K92" t="s">
        <v>817</v>
      </c>
      <c r="L92" t="s">
        <v>119</v>
      </c>
      <c r="M92" t="s">
        <v>1007</v>
      </c>
      <c r="N92" t="s">
        <v>1035</v>
      </c>
      <c r="O92" t="s">
        <v>104</v>
      </c>
      <c r="AY92" t="s">
        <v>1036</v>
      </c>
      <c r="AZ92" t="str">
        <f>VLOOKUP(A92,'[1]SQL script 7 (1)'!$D$4:$F$1079,3,FALSE)</f>
        <v>Revenue - Organic</v>
      </c>
      <c r="BA92" t="s">
        <v>71</v>
      </c>
      <c r="BB92">
        <v>707</v>
      </c>
      <c r="BC92" t="s">
        <v>72</v>
      </c>
      <c r="BD92" s="7">
        <v>45292</v>
      </c>
      <c r="BE92" s="7">
        <v>2958465</v>
      </c>
      <c r="BF92">
        <v>1</v>
      </c>
    </row>
    <row r="93" spans="1:58" ht="17.25" customHeight="1">
      <c r="A93" t="s">
        <v>1037</v>
      </c>
      <c r="B93" t="s">
        <v>1038</v>
      </c>
      <c r="C93" t="s">
        <v>59</v>
      </c>
      <c r="D93" s="10">
        <v>23</v>
      </c>
      <c r="E93" t="s">
        <v>60</v>
      </c>
      <c r="G93" t="s">
        <v>1039</v>
      </c>
      <c r="H93" t="s">
        <v>1040</v>
      </c>
      <c r="I93" t="s">
        <v>1041</v>
      </c>
      <c r="J93" t="s">
        <v>1042</v>
      </c>
      <c r="K93" t="s">
        <v>1043</v>
      </c>
      <c r="L93" t="s">
        <v>119</v>
      </c>
      <c r="M93" t="s">
        <v>840</v>
      </c>
      <c r="N93" t="s">
        <v>1044</v>
      </c>
      <c r="O93" t="s">
        <v>1045</v>
      </c>
      <c r="AY93" t="s">
        <v>1046</v>
      </c>
      <c r="AZ93" t="str">
        <f>VLOOKUP(A93,'[1]SQL script 7 (1)'!$D$4:$F$1079,3,FALSE)</f>
        <v>Revenue - Moorland</v>
      </c>
      <c r="BA93" t="s">
        <v>71</v>
      </c>
      <c r="BB93">
        <v>23</v>
      </c>
      <c r="BC93" t="s">
        <v>72</v>
      </c>
      <c r="BD93" s="7">
        <v>45292</v>
      </c>
      <c r="BE93" s="7">
        <v>2958465</v>
      </c>
      <c r="BF93">
        <v>1</v>
      </c>
    </row>
    <row r="94" spans="1:58" ht="17.25" customHeight="1">
      <c r="A94" t="s">
        <v>1047</v>
      </c>
      <c r="B94" t="s">
        <v>1048</v>
      </c>
      <c r="C94" t="s">
        <v>59</v>
      </c>
      <c r="D94" s="10">
        <v>380</v>
      </c>
      <c r="E94" t="s">
        <v>60</v>
      </c>
      <c r="G94" t="s">
        <v>1049</v>
      </c>
      <c r="H94" t="s">
        <v>1050</v>
      </c>
      <c r="I94" t="s">
        <v>1051</v>
      </c>
      <c r="J94" t="s">
        <v>1052</v>
      </c>
      <c r="K94" t="s">
        <v>1053</v>
      </c>
      <c r="L94" t="s">
        <v>1054</v>
      </c>
      <c r="M94" t="s">
        <v>1055</v>
      </c>
      <c r="N94" t="s">
        <v>1056</v>
      </c>
      <c r="O94" t="s">
        <v>104</v>
      </c>
      <c r="AY94" t="s">
        <v>1057</v>
      </c>
      <c r="AZ94" t="str">
        <f>VLOOKUP(A94,'[1]SQL script 7 (1)'!$D$4:$F$1079,3,FALSE)</f>
        <v>Revenue - Organic</v>
      </c>
      <c r="BA94" t="s">
        <v>71</v>
      </c>
      <c r="BB94">
        <v>380</v>
      </c>
      <c r="BC94" t="s">
        <v>72</v>
      </c>
      <c r="BD94" s="7">
        <v>45292</v>
      </c>
      <c r="BE94" s="7">
        <v>2958465</v>
      </c>
      <c r="BF94">
        <v>1</v>
      </c>
    </row>
    <row r="95" spans="1:58" ht="17.25" customHeight="1">
      <c r="A95" t="s">
        <v>1058</v>
      </c>
      <c r="B95" t="s">
        <v>1059</v>
      </c>
      <c r="C95" t="s">
        <v>59</v>
      </c>
      <c r="D95" s="10">
        <v>48</v>
      </c>
      <c r="E95" t="s">
        <v>60</v>
      </c>
      <c r="G95" t="s">
        <v>1060</v>
      </c>
      <c r="H95" t="s">
        <v>1061</v>
      </c>
      <c r="I95" t="s">
        <v>995</v>
      </c>
      <c r="J95" t="s">
        <v>1062</v>
      </c>
      <c r="K95" t="s">
        <v>1063</v>
      </c>
      <c r="L95" t="s">
        <v>119</v>
      </c>
      <c r="M95" t="s">
        <v>998</v>
      </c>
      <c r="N95" t="s">
        <v>1064</v>
      </c>
      <c r="O95" t="s">
        <v>1065</v>
      </c>
      <c r="AY95" t="s">
        <v>1066</v>
      </c>
      <c r="AZ95" t="str">
        <f>VLOOKUP(A95,'[1]SQL script 7 (1)'!$D$4:$F$1079,3,FALSE)</f>
        <v>Revenue - Moorland</v>
      </c>
      <c r="BA95" t="s">
        <v>71</v>
      </c>
      <c r="BB95">
        <v>48</v>
      </c>
      <c r="BC95" t="s">
        <v>72</v>
      </c>
      <c r="BD95" s="7">
        <v>45292</v>
      </c>
      <c r="BE95" s="7">
        <v>2958465</v>
      </c>
      <c r="BF95">
        <v>1</v>
      </c>
    </row>
    <row r="96" spans="1:58" ht="17.25" customHeight="1">
      <c r="A96" t="s">
        <v>1067</v>
      </c>
      <c r="B96" t="s">
        <v>1068</v>
      </c>
      <c r="C96" t="s">
        <v>59</v>
      </c>
      <c r="D96" s="10">
        <v>43</v>
      </c>
      <c r="E96" t="s">
        <v>60</v>
      </c>
      <c r="G96" t="s">
        <v>993</v>
      </c>
      <c r="H96" t="s">
        <v>994</v>
      </c>
      <c r="I96" t="s">
        <v>995</v>
      </c>
      <c r="J96" t="s">
        <v>996</v>
      </c>
      <c r="K96" t="s">
        <v>1069</v>
      </c>
      <c r="L96" t="s">
        <v>119</v>
      </c>
      <c r="M96" t="s">
        <v>998</v>
      </c>
      <c r="N96" t="s">
        <v>1064</v>
      </c>
      <c r="O96" t="s">
        <v>1070</v>
      </c>
      <c r="AY96" t="s">
        <v>1071</v>
      </c>
      <c r="AZ96" t="str">
        <f>VLOOKUP(A96,'[1]SQL script 7 (1)'!$D$4:$F$1079,3,FALSE)</f>
        <v>Revenue - Moorland</v>
      </c>
      <c r="BA96" t="s">
        <v>71</v>
      </c>
      <c r="BB96">
        <v>43</v>
      </c>
      <c r="BC96" t="s">
        <v>72</v>
      </c>
      <c r="BD96" s="7">
        <v>45292</v>
      </c>
      <c r="BE96" s="7">
        <v>2958465</v>
      </c>
      <c r="BF96">
        <v>1</v>
      </c>
    </row>
    <row r="97" spans="1:58" ht="17.25" customHeight="1">
      <c r="A97" t="s">
        <v>1072</v>
      </c>
      <c r="B97" t="s">
        <v>1073</v>
      </c>
      <c r="C97" t="s">
        <v>59</v>
      </c>
      <c r="D97" s="10">
        <v>97</v>
      </c>
      <c r="E97" t="s">
        <v>60</v>
      </c>
      <c r="G97" t="s">
        <v>1074</v>
      </c>
      <c r="H97" t="s">
        <v>1075</v>
      </c>
      <c r="I97" t="s">
        <v>815</v>
      </c>
      <c r="J97" t="s">
        <v>1076</v>
      </c>
      <c r="K97" t="s">
        <v>817</v>
      </c>
      <c r="L97" t="s">
        <v>119</v>
      </c>
      <c r="M97" t="s">
        <v>1077</v>
      </c>
      <c r="N97" t="s">
        <v>1078</v>
      </c>
      <c r="O97" t="s">
        <v>104</v>
      </c>
      <c r="AY97" t="s">
        <v>1079</v>
      </c>
      <c r="AZ97" t="str">
        <f>VLOOKUP(A97,'[1]SQL script 7 (1)'!$D$4:$F$1079,3,FALSE)</f>
        <v>Revenue - Organic</v>
      </c>
      <c r="BA97" t="s">
        <v>71</v>
      </c>
      <c r="BB97">
        <v>97</v>
      </c>
      <c r="BC97" t="s">
        <v>72</v>
      </c>
      <c r="BD97" s="7">
        <v>45292</v>
      </c>
      <c r="BE97" s="7">
        <v>2958465</v>
      </c>
      <c r="BF97">
        <v>1</v>
      </c>
    </row>
    <row r="98" spans="1:58" ht="17.25" customHeight="1">
      <c r="A98" t="s">
        <v>1080</v>
      </c>
      <c r="B98" t="s">
        <v>1081</v>
      </c>
      <c r="C98" t="s">
        <v>59</v>
      </c>
      <c r="D98" s="10">
        <v>45</v>
      </c>
      <c r="E98" t="s">
        <v>60</v>
      </c>
      <c r="G98" t="s">
        <v>1060</v>
      </c>
      <c r="H98" t="s">
        <v>1061</v>
      </c>
      <c r="I98" t="s">
        <v>995</v>
      </c>
      <c r="J98" t="s">
        <v>1062</v>
      </c>
      <c r="K98" t="s">
        <v>1082</v>
      </c>
      <c r="L98" t="s">
        <v>119</v>
      </c>
      <c r="M98" t="s">
        <v>998</v>
      </c>
      <c r="N98" t="s">
        <v>1064</v>
      </c>
      <c r="O98" t="s">
        <v>1070</v>
      </c>
      <c r="AY98" t="s">
        <v>1083</v>
      </c>
      <c r="AZ98" t="str">
        <f>VLOOKUP(A98,'[1]SQL script 7 (1)'!$D$4:$F$1079,3,FALSE)</f>
        <v>Revenue - Moorland</v>
      </c>
      <c r="BA98" t="s">
        <v>71</v>
      </c>
      <c r="BB98">
        <v>45</v>
      </c>
      <c r="BC98" t="s">
        <v>72</v>
      </c>
      <c r="BD98" s="7">
        <v>45292</v>
      </c>
      <c r="BE98" s="7">
        <v>2958465</v>
      </c>
      <c r="BF98">
        <v>1</v>
      </c>
    </row>
    <row r="99" spans="1:58" ht="17.25" customHeight="1">
      <c r="A99" t="s">
        <v>1084</v>
      </c>
      <c r="B99" t="s">
        <v>1085</v>
      </c>
      <c r="C99" t="s">
        <v>59</v>
      </c>
      <c r="D99" s="10">
        <v>935</v>
      </c>
      <c r="E99" t="s">
        <v>1086</v>
      </c>
      <c r="G99" t="s">
        <v>1087</v>
      </c>
      <c r="H99" t="s">
        <v>1088</v>
      </c>
      <c r="I99" t="s">
        <v>293</v>
      </c>
      <c r="J99" t="s">
        <v>1089</v>
      </c>
      <c r="K99" t="s">
        <v>1090</v>
      </c>
      <c r="L99" t="s">
        <v>296</v>
      </c>
      <c r="M99" t="s">
        <v>1091</v>
      </c>
      <c r="N99" t="s">
        <v>298</v>
      </c>
      <c r="O99" t="s">
        <v>299</v>
      </c>
      <c r="AY99" t="s">
        <v>1092</v>
      </c>
      <c r="AZ99" t="str">
        <f>VLOOKUP(A99,'[1]SQL script 7 (1)'!$D$4:$F$1079,3,FALSE)</f>
        <v>Revenue - Organic</v>
      </c>
      <c r="BA99" t="s">
        <v>71</v>
      </c>
      <c r="BB99">
        <v>935</v>
      </c>
      <c r="BC99" t="s">
        <v>301</v>
      </c>
      <c r="BD99" s="7">
        <v>45292</v>
      </c>
      <c r="BE99" s="7">
        <v>2958465</v>
      </c>
      <c r="BF99">
        <v>1</v>
      </c>
    </row>
    <row r="100" spans="1:58" ht="17.25" customHeight="1">
      <c r="A100" t="s">
        <v>1093</v>
      </c>
      <c r="B100" t="s">
        <v>1094</v>
      </c>
      <c r="C100" t="s">
        <v>823</v>
      </c>
      <c r="D100" s="10">
        <v>874</v>
      </c>
      <c r="E100" t="s">
        <v>60</v>
      </c>
      <c r="G100" t="s">
        <v>1095</v>
      </c>
      <c r="H100" t="s">
        <v>1096</v>
      </c>
      <c r="I100" t="s">
        <v>826</v>
      </c>
      <c r="J100" t="s">
        <v>1097</v>
      </c>
      <c r="K100" t="s">
        <v>828</v>
      </c>
      <c r="L100" t="s">
        <v>829</v>
      </c>
      <c r="M100" t="s">
        <v>955</v>
      </c>
      <c r="N100" t="s">
        <v>1098</v>
      </c>
      <c r="O100" t="s">
        <v>104</v>
      </c>
      <c r="AY100" t="s">
        <v>1099</v>
      </c>
      <c r="AZ100" t="str">
        <f>VLOOKUP(A100,'[1]SQL script 7 (1)'!$D$4:$F$1079,3,FALSE)</f>
        <v>Revenue - Organic</v>
      </c>
      <c r="BA100" t="s">
        <v>71</v>
      </c>
      <c r="BB100">
        <v>874</v>
      </c>
      <c r="BC100" t="s">
        <v>72</v>
      </c>
      <c r="BD100" s="7">
        <v>45292</v>
      </c>
      <c r="BE100" s="7">
        <v>2958465</v>
      </c>
      <c r="BF100">
        <v>1</v>
      </c>
    </row>
    <row r="101" spans="1:58" ht="17.25" customHeight="1">
      <c r="A101" t="s">
        <v>1100</v>
      </c>
      <c r="B101" t="s">
        <v>1101</v>
      </c>
      <c r="C101" t="s">
        <v>59</v>
      </c>
      <c r="D101" s="10">
        <v>7</v>
      </c>
      <c r="E101" t="s">
        <v>60</v>
      </c>
      <c r="G101" t="s">
        <v>1102</v>
      </c>
      <c r="H101" t="s">
        <v>1103</v>
      </c>
      <c r="I101" t="s">
        <v>1041</v>
      </c>
      <c r="J101" t="s">
        <v>1104</v>
      </c>
      <c r="K101" t="s">
        <v>1105</v>
      </c>
      <c r="L101" t="s">
        <v>119</v>
      </c>
      <c r="M101" t="s">
        <v>840</v>
      </c>
      <c r="N101" t="s">
        <v>1044</v>
      </c>
      <c r="O101" t="s">
        <v>1045</v>
      </c>
      <c r="AY101" t="s">
        <v>1106</v>
      </c>
      <c r="AZ101" t="str">
        <f>VLOOKUP(A101,'[1]SQL script 7 (1)'!$D$4:$F$1079,3,FALSE)</f>
        <v>Revenue - Moorland</v>
      </c>
      <c r="BA101" t="s">
        <v>71</v>
      </c>
      <c r="BB101">
        <v>7</v>
      </c>
      <c r="BC101" t="s">
        <v>72</v>
      </c>
      <c r="BD101" s="7">
        <v>45292</v>
      </c>
      <c r="BE101" s="7">
        <v>2958465</v>
      </c>
      <c r="BF101">
        <v>1</v>
      </c>
    </row>
    <row r="102" spans="1:58" ht="17.25" customHeight="1">
      <c r="A102" t="s">
        <v>1107</v>
      </c>
      <c r="B102" t="s">
        <v>1108</v>
      </c>
      <c r="C102" t="s">
        <v>59</v>
      </c>
      <c r="D102" s="10">
        <v>18</v>
      </c>
      <c r="E102" t="s">
        <v>60</v>
      </c>
      <c r="G102" t="s">
        <v>1109</v>
      </c>
      <c r="H102" t="s">
        <v>1110</v>
      </c>
      <c r="I102" t="s">
        <v>1041</v>
      </c>
      <c r="J102" t="s">
        <v>1111</v>
      </c>
      <c r="K102" t="s">
        <v>1112</v>
      </c>
      <c r="L102" t="s">
        <v>119</v>
      </c>
      <c r="M102" t="s">
        <v>840</v>
      </c>
      <c r="N102" t="s">
        <v>1044</v>
      </c>
      <c r="O102" t="s">
        <v>1045</v>
      </c>
      <c r="AY102" t="s">
        <v>1113</v>
      </c>
      <c r="AZ102" t="str">
        <f>VLOOKUP(A102,'[1]SQL script 7 (1)'!$D$4:$F$1079,3,FALSE)</f>
        <v>Revenue - Moorland</v>
      </c>
      <c r="BA102" t="s">
        <v>71</v>
      </c>
      <c r="BB102">
        <v>18</v>
      </c>
      <c r="BC102" t="s">
        <v>72</v>
      </c>
      <c r="BD102" s="7">
        <v>45292</v>
      </c>
      <c r="BE102" s="7">
        <v>2958465</v>
      </c>
      <c r="BF102">
        <v>1</v>
      </c>
    </row>
    <row r="103" spans="1:58" ht="17.25" customHeight="1">
      <c r="A103" t="s">
        <v>1114</v>
      </c>
      <c r="B103" t="s">
        <v>1115</v>
      </c>
      <c r="C103" t="s">
        <v>59</v>
      </c>
      <c r="D103" s="10">
        <v>264</v>
      </c>
      <c r="E103" t="s">
        <v>60</v>
      </c>
      <c r="G103" t="s">
        <v>1116</v>
      </c>
      <c r="H103" t="s">
        <v>1117</v>
      </c>
      <c r="I103" t="s">
        <v>595</v>
      </c>
      <c r="J103" t="s">
        <v>1118</v>
      </c>
      <c r="K103" t="s">
        <v>1119</v>
      </c>
      <c r="L103" t="s">
        <v>1120</v>
      </c>
      <c r="M103" t="s">
        <v>1121</v>
      </c>
      <c r="N103" t="s">
        <v>1122</v>
      </c>
      <c r="O103" t="s">
        <v>600</v>
      </c>
      <c r="AY103" t="s">
        <v>1123</v>
      </c>
      <c r="AZ103" t="str">
        <f>VLOOKUP(A103,'[1]SQL script 7 (1)'!$D$4:$F$1079,3,FALSE)</f>
        <v>Revenue - Organic</v>
      </c>
      <c r="BA103" t="s">
        <v>71</v>
      </c>
      <c r="BB103">
        <v>264</v>
      </c>
      <c r="BC103" t="s">
        <v>72</v>
      </c>
      <c r="BD103" s="7">
        <v>45292</v>
      </c>
      <c r="BE103" s="7">
        <v>2958465</v>
      </c>
      <c r="BF103">
        <v>1</v>
      </c>
    </row>
  </sheetData>
  <autoFilter ref="A1:AX103" xr:uid="{AC401787-6BF8-42B5-95BA-1098E20BB68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9B334-9AC2-4450-A959-00BB84FF38A5}">
  <dimension ref="A1:J103"/>
  <sheetViews>
    <sheetView workbookViewId="0">
      <pane xSplit="3" ySplit="1" topLeftCell="D2" activePane="bottomRight" state="frozen"/>
      <selection pane="bottomRight" activeCell="B2" sqref="B2"/>
      <selection pane="bottomLeft" activeCell="A2" sqref="A2"/>
      <selection pane="topRight" activeCell="B1" sqref="B1"/>
    </sheetView>
  </sheetViews>
  <sheetFormatPr defaultRowHeight="15"/>
  <cols>
    <col min="2" max="2" width="52" customWidth="1"/>
    <col min="3" max="3" width="95.28515625" style="1" customWidth="1"/>
    <col min="4" max="4" width="15.7109375" customWidth="1"/>
    <col min="7" max="7" width="15.85546875" bestFit="1" customWidth="1"/>
    <col min="8" max="8" width="13.7109375" bestFit="1" customWidth="1"/>
    <col min="9" max="9" width="11.7109375" bestFit="1" customWidth="1"/>
    <col min="10" max="10" width="9.7109375" bestFit="1" customWidth="1"/>
  </cols>
  <sheetData>
    <row r="1" spans="1:10">
      <c r="A1" s="2" t="s">
        <v>0</v>
      </c>
      <c r="B1" s="2" t="s">
        <v>1</v>
      </c>
      <c r="C1" s="5" t="s">
        <v>1124</v>
      </c>
      <c r="D1" t="s">
        <v>1125</v>
      </c>
      <c r="E1" t="s">
        <v>1126</v>
      </c>
      <c r="F1" t="s">
        <v>1127</v>
      </c>
      <c r="G1" t="s">
        <v>1128</v>
      </c>
      <c r="H1" t="s">
        <v>1129</v>
      </c>
      <c r="I1" t="s">
        <v>1130</v>
      </c>
      <c r="J1" t="s">
        <v>1131</v>
      </c>
    </row>
    <row r="2" spans="1:10" ht="210">
      <c r="A2" t="s">
        <v>57</v>
      </c>
      <c r="B2" t="s">
        <v>58</v>
      </c>
      <c r="C2" s="1" t="s">
        <v>64</v>
      </c>
      <c r="D2" t="s">
        <v>1132</v>
      </c>
      <c r="E2" t="s">
        <v>1133</v>
      </c>
      <c r="F2" t="s">
        <v>1134</v>
      </c>
      <c r="G2" t="str">
        <f>IF(ISERROR(FIND("This action is static",C2)),"!!!","Static")</f>
        <v>Static</v>
      </c>
      <c r="H2" t="s">
        <v>1135</v>
      </c>
    </row>
    <row r="3" spans="1:10" ht="225">
      <c r="A3" t="s">
        <v>73</v>
      </c>
      <c r="B3" t="s">
        <v>74</v>
      </c>
      <c r="C3" s="1" t="s">
        <v>78</v>
      </c>
      <c r="E3" t="s">
        <v>1136</v>
      </c>
      <c r="F3" t="s">
        <v>1137</v>
      </c>
      <c r="G3" t="str">
        <f>IF(ISERROR(FIND("This action is static",C3)),IF(ISERROR(FIND("This action is rotational or static",C3)),"!!!","rot or static"),"Static")</f>
        <v>rot or static</v>
      </c>
      <c r="H3" t="s">
        <v>1135</v>
      </c>
    </row>
    <row r="4" spans="1:10" ht="409.5">
      <c r="A4" t="s">
        <v>85</v>
      </c>
      <c r="B4" t="s">
        <v>86</v>
      </c>
      <c r="C4" s="1" t="s">
        <v>91</v>
      </c>
      <c r="G4" t="str">
        <f t="shared" ref="G4:G67" si="0">IF(ISERROR(FIND("This action is static",C4)),IF(ISERROR(FIND("This action is rotational or static",C4)),"!!!","rot or static"),"Static")</f>
        <v>Static</v>
      </c>
    </row>
    <row r="5" spans="1:10" ht="225">
      <c r="A5" t="s">
        <v>99</v>
      </c>
      <c r="B5" t="s">
        <v>100</v>
      </c>
      <c r="C5" s="1" t="s">
        <v>105</v>
      </c>
      <c r="G5" t="str">
        <f t="shared" si="0"/>
        <v>Static</v>
      </c>
    </row>
    <row r="6" spans="1:10" ht="270">
      <c r="A6" t="s">
        <v>112</v>
      </c>
      <c r="B6" t="s">
        <v>113</v>
      </c>
      <c r="C6" s="1" t="s">
        <v>117</v>
      </c>
      <c r="G6" t="str">
        <f t="shared" si="0"/>
        <v>rot or static</v>
      </c>
    </row>
    <row r="7" spans="1:10" ht="255">
      <c r="A7" t="s">
        <v>124</v>
      </c>
      <c r="B7" t="s">
        <v>125</v>
      </c>
      <c r="C7" s="1" t="s">
        <v>129</v>
      </c>
      <c r="G7" t="str">
        <f t="shared" si="0"/>
        <v>!!!</v>
      </c>
    </row>
    <row r="8" spans="1:10" ht="165">
      <c r="A8" t="s">
        <v>135</v>
      </c>
      <c r="B8" t="s">
        <v>136</v>
      </c>
      <c r="C8" s="1" t="s">
        <v>140</v>
      </c>
      <c r="G8" t="str">
        <f t="shared" si="0"/>
        <v>rot or static</v>
      </c>
    </row>
    <row r="9" spans="1:10" ht="300">
      <c r="A9" t="s">
        <v>147</v>
      </c>
      <c r="B9" t="s">
        <v>148</v>
      </c>
      <c r="C9" s="1" t="s">
        <v>154</v>
      </c>
      <c r="G9" t="str">
        <f t="shared" si="0"/>
        <v>Static</v>
      </c>
    </row>
    <row r="10" spans="1:10" ht="270">
      <c r="A10" t="s">
        <v>161</v>
      </c>
      <c r="B10" t="s">
        <v>162</v>
      </c>
      <c r="C10" s="1" t="s">
        <v>166</v>
      </c>
      <c r="G10" t="str">
        <f t="shared" si="0"/>
        <v>rot or static</v>
      </c>
    </row>
    <row r="11" spans="1:10" ht="225">
      <c r="A11" t="s">
        <v>172</v>
      </c>
      <c r="B11" t="s">
        <v>173</v>
      </c>
      <c r="C11" s="1" t="s">
        <v>177</v>
      </c>
      <c r="G11" t="str">
        <f t="shared" si="0"/>
        <v>rot or static</v>
      </c>
    </row>
    <row r="12" spans="1:10" ht="255">
      <c r="A12" t="s">
        <v>183</v>
      </c>
      <c r="B12" t="s">
        <v>184</v>
      </c>
      <c r="C12" s="1" t="s">
        <v>188</v>
      </c>
      <c r="G12" t="str">
        <f t="shared" si="0"/>
        <v>Static</v>
      </c>
    </row>
    <row r="13" spans="1:10" ht="285">
      <c r="A13" t="s">
        <v>195</v>
      </c>
      <c r="B13" t="s">
        <v>196</v>
      </c>
      <c r="C13" s="1" t="s">
        <v>200</v>
      </c>
      <c r="G13" t="str">
        <f t="shared" si="0"/>
        <v>Static</v>
      </c>
    </row>
    <row r="14" spans="1:10" ht="210">
      <c r="A14" t="s">
        <v>207</v>
      </c>
      <c r="B14" t="s">
        <v>208</v>
      </c>
      <c r="C14" s="1" t="s">
        <v>212</v>
      </c>
      <c r="G14" t="str">
        <f t="shared" si="0"/>
        <v>rot or static</v>
      </c>
    </row>
    <row r="15" spans="1:10" ht="180">
      <c r="A15" t="s">
        <v>218</v>
      </c>
      <c r="B15" t="s">
        <v>219</v>
      </c>
      <c r="C15" s="1" t="s">
        <v>223</v>
      </c>
      <c r="G15" t="str">
        <f t="shared" si="0"/>
        <v>rot or static</v>
      </c>
    </row>
    <row r="16" spans="1:10" ht="285">
      <c r="A16" t="s">
        <v>228</v>
      </c>
      <c r="B16" t="s">
        <v>229</v>
      </c>
      <c r="C16" s="1" t="s">
        <v>235</v>
      </c>
      <c r="G16" t="str">
        <f t="shared" si="0"/>
        <v>Static</v>
      </c>
    </row>
    <row r="17" spans="1:7" ht="255">
      <c r="A17" t="s">
        <v>241</v>
      </c>
      <c r="B17" t="s">
        <v>242</v>
      </c>
      <c r="C17" s="1" t="s">
        <v>246</v>
      </c>
      <c r="G17" t="str">
        <f t="shared" si="0"/>
        <v>Static</v>
      </c>
    </row>
    <row r="18" spans="1:7" ht="210">
      <c r="A18" t="s">
        <v>253</v>
      </c>
      <c r="B18" t="s">
        <v>254</v>
      </c>
      <c r="C18" s="1" t="s">
        <v>258</v>
      </c>
      <c r="G18" t="str">
        <f t="shared" si="0"/>
        <v>!!!</v>
      </c>
    </row>
    <row r="19" spans="1:7" ht="210">
      <c r="A19" t="s">
        <v>264</v>
      </c>
      <c r="B19" t="s">
        <v>265</v>
      </c>
      <c r="C19" s="1" t="s">
        <v>269</v>
      </c>
      <c r="G19" t="str">
        <f t="shared" si="0"/>
        <v>rot or static</v>
      </c>
    </row>
    <row r="20" spans="1:7" ht="255">
      <c r="A20" t="s">
        <v>276</v>
      </c>
      <c r="B20" t="s">
        <v>277</v>
      </c>
      <c r="C20" s="1" t="s">
        <v>281</v>
      </c>
      <c r="G20" t="str">
        <f t="shared" si="0"/>
        <v>rot or static</v>
      </c>
    </row>
    <row r="21" spans="1:7" ht="75">
      <c r="A21" t="s">
        <v>287</v>
      </c>
      <c r="B21" t="s">
        <v>288</v>
      </c>
      <c r="C21" s="1" t="s">
        <v>294</v>
      </c>
      <c r="G21" t="str">
        <f t="shared" si="0"/>
        <v>!!!</v>
      </c>
    </row>
    <row r="22" spans="1:7" ht="225">
      <c r="A22" t="s">
        <v>302</v>
      </c>
      <c r="B22" t="s">
        <v>303</v>
      </c>
      <c r="C22" s="1" t="s">
        <v>307</v>
      </c>
      <c r="G22" t="str">
        <f t="shared" si="0"/>
        <v>Static</v>
      </c>
    </row>
    <row r="23" spans="1:7" ht="210">
      <c r="A23" t="s">
        <v>313</v>
      </c>
      <c r="B23" t="s">
        <v>314</v>
      </c>
      <c r="C23" s="1" t="s">
        <v>212</v>
      </c>
      <c r="G23" t="str">
        <f t="shared" si="0"/>
        <v>rot or static</v>
      </c>
    </row>
    <row r="24" spans="1:7" ht="255">
      <c r="A24" t="s">
        <v>323</v>
      </c>
      <c r="B24" t="s">
        <v>324</v>
      </c>
      <c r="C24" s="1" t="s">
        <v>328</v>
      </c>
      <c r="G24" t="str">
        <f t="shared" si="0"/>
        <v>Static</v>
      </c>
    </row>
    <row r="25" spans="1:7" ht="210">
      <c r="A25" t="s">
        <v>334</v>
      </c>
      <c r="B25" t="s">
        <v>335</v>
      </c>
      <c r="C25" s="1" t="s">
        <v>339</v>
      </c>
      <c r="G25" t="str">
        <f t="shared" si="0"/>
        <v>rot or static</v>
      </c>
    </row>
    <row r="26" spans="1:7">
      <c r="A26" t="s">
        <v>345</v>
      </c>
      <c r="B26" t="s">
        <v>346</v>
      </c>
      <c r="C26" s="1" t="s">
        <v>350</v>
      </c>
      <c r="G26" t="str">
        <f t="shared" si="0"/>
        <v>!!!</v>
      </c>
    </row>
    <row r="27" spans="1:7" ht="390">
      <c r="A27" t="s">
        <v>357</v>
      </c>
      <c r="B27" t="s">
        <v>358</v>
      </c>
      <c r="C27" s="1" t="s">
        <v>363</v>
      </c>
      <c r="G27" t="str">
        <f t="shared" si="0"/>
        <v>Static</v>
      </c>
    </row>
    <row r="28" spans="1:7" ht="285">
      <c r="A28" t="s">
        <v>368</v>
      </c>
      <c r="B28" t="s">
        <v>369</v>
      </c>
      <c r="C28" s="1" t="s">
        <v>373</v>
      </c>
      <c r="G28" t="str">
        <f t="shared" si="0"/>
        <v>rot or static</v>
      </c>
    </row>
    <row r="29" spans="1:7" ht="180">
      <c r="A29" t="s">
        <v>379</v>
      </c>
      <c r="B29" t="s">
        <v>380</v>
      </c>
      <c r="C29" s="1" t="s">
        <v>384</v>
      </c>
      <c r="G29" t="str">
        <f t="shared" si="0"/>
        <v>rot or static</v>
      </c>
    </row>
    <row r="30" spans="1:7">
      <c r="A30" t="s">
        <v>387</v>
      </c>
      <c r="B30" t="s">
        <v>388</v>
      </c>
      <c r="C30" s="1" t="s">
        <v>391</v>
      </c>
      <c r="G30" t="str">
        <f t="shared" si="0"/>
        <v>!!!</v>
      </c>
    </row>
    <row r="31" spans="1:7" ht="180">
      <c r="A31" t="s">
        <v>396</v>
      </c>
      <c r="B31" t="s">
        <v>397</v>
      </c>
      <c r="C31" s="1" t="s">
        <v>401</v>
      </c>
      <c r="G31" t="str">
        <f t="shared" si="0"/>
        <v>!!!</v>
      </c>
    </row>
    <row r="32" spans="1:7" ht="165">
      <c r="A32" t="s">
        <v>409</v>
      </c>
      <c r="B32" t="s">
        <v>410</v>
      </c>
      <c r="C32" s="1" t="s">
        <v>414</v>
      </c>
      <c r="G32" t="str">
        <f t="shared" si="0"/>
        <v>!!!</v>
      </c>
    </row>
    <row r="33" spans="1:7" ht="150">
      <c r="A33" t="s">
        <v>421</v>
      </c>
      <c r="B33" t="s">
        <v>422</v>
      </c>
      <c r="C33" s="1" t="s">
        <v>426</v>
      </c>
      <c r="G33" t="str">
        <f t="shared" si="0"/>
        <v>!!!</v>
      </c>
    </row>
    <row r="34" spans="1:7" ht="225">
      <c r="A34" t="s">
        <v>431</v>
      </c>
      <c r="B34" t="s">
        <v>432</v>
      </c>
      <c r="C34" s="1" t="s">
        <v>436</v>
      </c>
      <c r="G34" t="str">
        <f t="shared" si="0"/>
        <v>!!!</v>
      </c>
    </row>
    <row r="35" spans="1:7" ht="270">
      <c r="A35" t="s">
        <v>442</v>
      </c>
      <c r="B35" t="s">
        <v>443</v>
      </c>
      <c r="C35" s="1" t="s">
        <v>447</v>
      </c>
      <c r="G35" t="str">
        <f t="shared" si="0"/>
        <v>!!!</v>
      </c>
    </row>
    <row r="36" spans="1:7" ht="210">
      <c r="A36" t="s">
        <v>453</v>
      </c>
      <c r="B36" t="s">
        <v>454</v>
      </c>
      <c r="C36" s="1" t="s">
        <v>458</v>
      </c>
      <c r="G36" t="str">
        <f t="shared" si="0"/>
        <v>Static</v>
      </c>
    </row>
    <row r="37" spans="1:7" ht="210">
      <c r="A37" t="s">
        <v>464</v>
      </c>
      <c r="B37" t="s">
        <v>465</v>
      </c>
      <c r="C37" s="1" t="s">
        <v>469</v>
      </c>
      <c r="G37" t="str">
        <f t="shared" si="0"/>
        <v>!!!</v>
      </c>
    </row>
    <row r="38" spans="1:7" ht="225">
      <c r="A38" t="s">
        <v>476</v>
      </c>
      <c r="B38" t="s">
        <v>477</v>
      </c>
      <c r="C38" s="1" t="s">
        <v>436</v>
      </c>
      <c r="G38" t="str">
        <f t="shared" si="0"/>
        <v>!!!</v>
      </c>
    </row>
    <row r="39" spans="1:7" ht="270">
      <c r="A39" t="s">
        <v>483</v>
      </c>
      <c r="B39" t="s">
        <v>484</v>
      </c>
      <c r="C39" s="1" t="s">
        <v>488</v>
      </c>
      <c r="G39" t="str">
        <f t="shared" si="0"/>
        <v>rot or static</v>
      </c>
    </row>
    <row r="40" spans="1:7" ht="270">
      <c r="A40" t="s">
        <v>494</v>
      </c>
      <c r="B40" t="s">
        <v>495</v>
      </c>
      <c r="C40" s="1" t="s">
        <v>499</v>
      </c>
      <c r="G40" t="str">
        <f t="shared" si="0"/>
        <v>Static</v>
      </c>
    </row>
    <row r="41" spans="1:7" ht="285">
      <c r="A41" t="s">
        <v>507</v>
      </c>
      <c r="B41" t="s">
        <v>508</v>
      </c>
      <c r="C41" s="1" t="s">
        <v>512</v>
      </c>
      <c r="G41" t="str">
        <f t="shared" si="0"/>
        <v>Static</v>
      </c>
    </row>
    <row r="42" spans="1:7" ht="225">
      <c r="A42" t="s">
        <v>517</v>
      </c>
      <c r="B42" t="s">
        <v>518</v>
      </c>
      <c r="C42" s="1" t="s">
        <v>521</v>
      </c>
      <c r="G42" t="str">
        <f t="shared" si="0"/>
        <v>Static</v>
      </c>
    </row>
    <row r="43" spans="1:7" ht="195">
      <c r="A43" t="s">
        <v>526</v>
      </c>
      <c r="B43" t="s">
        <v>527</v>
      </c>
      <c r="C43" s="1" t="s">
        <v>529</v>
      </c>
      <c r="G43" t="str">
        <f t="shared" si="0"/>
        <v>Static</v>
      </c>
    </row>
    <row r="44" spans="1:7" ht="270">
      <c r="A44" t="s">
        <v>535</v>
      </c>
      <c r="B44" t="s">
        <v>536</v>
      </c>
      <c r="C44" s="1" t="s">
        <v>541</v>
      </c>
      <c r="G44" t="str">
        <f t="shared" si="0"/>
        <v>Static</v>
      </c>
    </row>
    <row r="45" spans="1:7" ht="120">
      <c r="A45" t="s">
        <v>548</v>
      </c>
      <c r="B45" t="s">
        <v>549</v>
      </c>
      <c r="C45" s="1" t="s">
        <v>553</v>
      </c>
      <c r="G45" t="str">
        <f t="shared" si="0"/>
        <v>!!!</v>
      </c>
    </row>
    <row r="46" spans="1:7" ht="225">
      <c r="A46" t="s">
        <v>559</v>
      </c>
      <c r="B46" t="s">
        <v>560</v>
      </c>
      <c r="C46" s="1" t="s">
        <v>564</v>
      </c>
      <c r="G46" t="str">
        <f t="shared" si="0"/>
        <v>rot or static</v>
      </c>
    </row>
    <row r="47" spans="1:7" ht="225">
      <c r="A47" t="s">
        <v>570</v>
      </c>
      <c r="B47" t="s">
        <v>571</v>
      </c>
      <c r="C47" s="1" t="s">
        <v>575</v>
      </c>
      <c r="G47" t="str">
        <f t="shared" si="0"/>
        <v>Static</v>
      </c>
    </row>
    <row r="48" spans="1:7" ht="240">
      <c r="A48" t="s">
        <v>581</v>
      </c>
      <c r="B48" t="s">
        <v>582</v>
      </c>
      <c r="C48" s="1" t="s">
        <v>586</v>
      </c>
      <c r="G48" t="str">
        <f t="shared" si="0"/>
        <v>Static</v>
      </c>
    </row>
    <row r="49" spans="1:7" ht="210">
      <c r="A49" t="s">
        <v>591</v>
      </c>
      <c r="B49" t="s">
        <v>592</v>
      </c>
      <c r="C49" s="1" t="s">
        <v>596</v>
      </c>
      <c r="G49" t="str">
        <f t="shared" si="0"/>
        <v>rot or static</v>
      </c>
    </row>
    <row r="50" spans="1:7" ht="225">
      <c r="A50" t="s">
        <v>602</v>
      </c>
      <c r="B50" t="s">
        <v>603</v>
      </c>
      <c r="C50" s="1" t="s">
        <v>607</v>
      </c>
      <c r="G50" t="str">
        <f t="shared" si="0"/>
        <v>Static</v>
      </c>
    </row>
    <row r="51" spans="1:7" ht="285">
      <c r="A51" t="s">
        <v>611</v>
      </c>
      <c r="B51" t="s">
        <v>612</v>
      </c>
      <c r="C51" s="1" t="s">
        <v>617</v>
      </c>
      <c r="G51" t="str">
        <f t="shared" si="0"/>
        <v>Static</v>
      </c>
    </row>
    <row r="52" spans="1:7" ht="210">
      <c r="A52" t="s">
        <v>623</v>
      </c>
      <c r="B52" t="s">
        <v>624</v>
      </c>
      <c r="C52" s="1" t="s">
        <v>626</v>
      </c>
      <c r="G52" t="str">
        <f t="shared" si="0"/>
        <v>Static</v>
      </c>
    </row>
    <row r="53" spans="1:7" ht="270">
      <c r="A53" t="s">
        <v>631</v>
      </c>
      <c r="B53" t="s">
        <v>632</v>
      </c>
      <c r="C53" s="1" t="s">
        <v>635</v>
      </c>
      <c r="G53" t="str">
        <f t="shared" si="0"/>
        <v>Static</v>
      </c>
    </row>
    <row r="54" spans="1:7" ht="270">
      <c r="A54" t="s">
        <v>642</v>
      </c>
      <c r="B54" t="s">
        <v>643</v>
      </c>
      <c r="C54" s="1" t="s">
        <v>647</v>
      </c>
      <c r="G54" t="str">
        <f t="shared" si="0"/>
        <v>Static</v>
      </c>
    </row>
    <row r="55" spans="1:7" ht="225">
      <c r="A55" t="s">
        <v>654</v>
      </c>
      <c r="B55" t="s">
        <v>655</v>
      </c>
      <c r="C55" s="1" t="s">
        <v>659</v>
      </c>
      <c r="G55" t="str">
        <f t="shared" si="0"/>
        <v>rot or static</v>
      </c>
    </row>
    <row r="56" spans="1:7" ht="240">
      <c r="A56" t="s">
        <v>666</v>
      </c>
      <c r="B56" t="s">
        <v>667</v>
      </c>
      <c r="C56" s="1" t="s">
        <v>672</v>
      </c>
      <c r="G56" t="str">
        <f t="shared" si="0"/>
        <v>Static</v>
      </c>
    </row>
    <row r="57" spans="1:7" ht="210">
      <c r="A57" t="s">
        <v>678</v>
      </c>
      <c r="B57" t="s">
        <v>679</v>
      </c>
      <c r="C57" s="1" t="s">
        <v>269</v>
      </c>
      <c r="G57" t="str">
        <f t="shared" si="0"/>
        <v>rot or static</v>
      </c>
    </row>
    <row r="58" spans="1:7" ht="225">
      <c r="A58" t="s">
        <v>686</v>
      </c>
      <c r="B58" t="s">
        <v>687</v>
      </c>
      <c r="C58" s="1" t="s">
        <v>692</v>
      </c>
      <c r="G58" t="str">
        <f t="shared" si="0"/>
        <v>Static</v>
      </c>
    </row>
    <row r="59" spans="1:7" ht="180">
      <c r="A59" t="s">
        <v>698</v>
      </c>
      <c r="B59" t="s">
        <v>699</v>
      </c>
      <c r="C59" s="1" t="s">
        <v>704</v>
      </c>
      <c r="G59" t="str">
        <f t="shared" si="0"/>
        <v>Static</v>
      </c>
    </row>
    <row r="60" spans="1:7" ht="210">
      <c r="A60" t="s">
        <v>709</v>
      </c>
      <c r="B60" t="s">
        <v>710</v>
      </c>
      <c r="C60" s="1" t="s">
        <v>714</v>
      </c>
      <c r="G60" t="str">
        <f t="shared" si="0"/>
        <v>Static</v>
      </c>
    </row>
    <row r="61" spans="1:7" ht="270">
      <c r="A61" t="s">
        <v>720</v>
      </c>
      <c r="B61" t="s">
        <v>721</v>
      </c>
      <c r="C61" s="1" t="s">
        <v>725</v>
      </c>
      <c r="G61" t="str">
        <f t="shared" si="0"/>
        <v>rot or static</v>
      </c>
    </row>
    <row r="62" spans="1:7" ht="300">
      <c r="A62" t="s">
        <v>731</v>
      </c>
      <c r="B62" t="s">
        <v>732</v>
      </c>
      <c r="C62" s="1" t="s">
        <v>736</v>
      </c>
      <c r="G62" t="str">
        <f t="shared" si="0"/>
        <v>Static</v>
      </c>
    </row>
    <row r="63" spans="1:7" ht="270">
      <c r="A63" t="s">
        <v>743</v>
      </c>
      <c r="B63" t="s">
        <v>744</v>
      </c>
      <c r="C63" s="1" t="s">
        <v>748</v>
      </c>
      <c r="G63" t="str">
        <f t="shared" si="0"/>
        <v>rot or static</v>
      </c>
    </row>
    <row r="64" spans="1:7" ht="270">
      <c r="A64" t="s">
        <v>754</v>
      </c>
      <c r="B64" t="s">
        <v>755</v>
      </c>
      <c r="C64" s="1" t="s">
        <v>759</v>
      </c>
      <c r="G64" t="str">
        <f t="shared" si="0"/>
        <v>rot or static</v>
      </c>
    </row>
    <row r="65" spans="1:7" ht="270">
      <c r="A65" t="s">
        <v>765</v>
      </c>
      <c r="B65" t="s">
        <v>766</v>
      </c>
      <c r="C65" s="1" t="s">
        <v>771</v>
      </c>
      <c r="G65" t="str">
        <f t="shared" si="0"/>
        <v>Static</v>
      </c>
    </row>
    <row r="66" spans="1:7" ht="255">
      <c r="A66" t="s">
        <v>778</v>
      </c>
      <c r="B66" t="s">
        <v>779</v>
      </c>
      <c r="C66" s="1" t="s">
        <v>784</v>
      </c>
      <c r="G66" t="str">
        <f t="shared" si="0"/>
        <v>rot or static</v>
      </c>
    </row>
    <row r="67" spans="1:7" ht="240">
      <c r="A67" t="s">
        <v>791</v>
      </c>
      <c r="B67" t="s">
        <v>792</v>
      </c>
      <c r="C67" s="1" t="s">
        <v>795</v>
      </c>
      <c r="G67" t="str">
        <f t="shared" si="0"/>
        <v>!!!</v>
      </c>
    </row>
    <row r="68" spans="1:7" ht="240">
      <c r="A68" t="s">
        <v>799</v>
      </c>
      <c r="B68" t="s">
        <v>800</v>
      </c>
      <c r="C68" s="1" t="s">
        <v>804</v>
      </c>
      <c r="G68" t="str">
        <f t="shared" ref="G68:G103" si="1">IF(ISERROR(FIND("This action is static",C68)),IF(ISERROR(FIND("This action is rotational or static",C68)),"!!!","rot or static"),"Static")</f>
        <v>Static</v>
      </c>
    </row>
    <row r="69" spans="1:7" ht="225">
      <c r="A69" t="s">
        <v>811</v>
      </c>
      <c r="B69" t="s">
        <v>812</v>
      </c>
      <c r="C69" s="1" t="s">
        <v>816</v>
      </c>
      <c r="G69" t="str">
        <f t="shared" si="1"/>
        <v>Static</v>
      </c>
    </row>
    <row r="70" spans="1:7" ht="210">
      <c r="A70" t="s">
        <v>821</v>
      </c>
      <c r="B70" t="s">
        <v>822</v>
      </c>
      <c r="C70" s="1" t="s">
        <v>827</v>
      </c>
      <c r="G70" t="str">
        <f t="shared" si="1"/>
        <v>Static</v>
      </c>
    </row>
    <row r="71" spans="1:7" ht="285">
      <c r="A71" t="s">
        <v>833</v>
      </c>
      <c r="B71" t="s">
        <v>834</v>
      </c>
      <c r="C71" s="1" t="s">
        <v>838</v>
      </c>
      <c r="G71" t="str">
        <f t="shared" si="1"/>
        <v>Static</v>
      </c>
    </row>
    <row r="72" spans="1:7" ht="210">
      <c r="A72" t="s">
        <v>844</v>
      </c>
      <c r="B72" t="s">
        <v>845</v>
      </c>
      <c r="C72" s="1" t="s">
        <v>849</v>
      </c>
      <c r="G72" t="str">
        <f t="shared" si="1"/>
        <v>Static</v>
      </c>
    </row>
    <row r="73" spans="1:7" ht="225">
      <c r="A73" t="s">
        <v>855</v>
      </c>
      <c r="B73" t="s">
        <v>856</v>
      </c>
      <c r="C73" s="1" t="s">
        <v>860</v>
      </c>
      <c r="G73" t="str">
        <f t="shared" si="1"/>
        <v>rot or static</v>
      </c>
    </row>
    <row r="74" spans="1:7" ht="240">
      <c r="A74" t="s">
        <v>867</v>
      </c>
      <c r="B74" t="s">
        <v>868</v>
      </c>
      <c r="C74" s="1" t="s">
        <v>873</v>
      </c>
      <c r="G74" t="str">
        <f t="shared" si="1"/>
        <v>Static</v>
      </c>
    </row>
    <row r="75" spans="1:7" ht="240">
      <c r="A75" t="s">
        <v>876</v>
      </c>
      <c r="B75" t="s">
        <v>877</v>
      </c>
      <c r="C75" s="1" t="s">
        <v>882</v>
      </c>
      <c r="G75" t="str">
        <f t="shared" si="1"/>
        <v>Static</v>
      </c>
    </row>
    <row r="76" spans="1:7" ht="210">
      <c r="A76" t="s">
        <v>887</v>
      </c>
      <c r="B76" t="s">
        <v>888</v>
      </c>
      <c r="C76" s="1" t="s">
        <v>892</v>
      </c>
      <c r="G76" t="str">
        <f t="shared" si="1"/>
        <v>!!!</v>
      </c>
    </row>
    <row r="77" spans="1:7" ht="255">
      <c r="A77" t="s">
        <v>899</v>
      </c>
      <c r="B77" t="s">
        <v>900</v>
      </c>
      <c r="C77" s="1" t="s">
        <v>903</v>
      </c>
      <c r="G77" t="str">
        <f t="shared" si="1"/>
        <v>Static</v>
      </c>
    </row>
    <row r="78" spans="1:7" ht="195">
      <c r="A78" t="s">
        <v>908</v>
      </c>
      <c r="B78" t="s">
        <v>909</v>
      </c>
      <c r="C78" s="1" t="s">
        <v>912</v>
      </c>
      <c r="G78" t="str">
        <f t="shared" si="1"/>
        <v>Static</v>
      </c>
    </row>
    <row r="79" spans="1:7" ht="285">
      <c r="A79" t="s">
        <v>915</v>
      </c>
      <c r="B79" t="s">
        <v>916</v>
      </c>
      <c r="C79" s="1" t="s">
        <v>919</v>
      </c>
      <c r="G79" t="str">
        <f t="shared" si="1"/>
        <v>Static</v>
      </c>
    </row>
    <row r="80" spans="1:7" ht="210">
      <c r="A80" t="s">
        <v>924</v>
      </c>
      <c r="B80" t="s">
        <v>925</v>
      </c>
      <c r="C80" s="1" t="s">
        <v>929</v>
      </c>
      <c r="G80" t="str">
        <f t="shared" si="1"/>
        <v>Static</v>
      </c>
    </row>
    <row r="81" spans="1:7" ht="225">
      <c r="A81" t="s">
        <v>935</v>
      </c>
      <c r="B81" t="s">
        <v>936</v>
      </c>
      <c r="C81" s="1" t="s">
        <v>939</v>
      </c>
      <c r="G81" t="str">
        <f t="shared" si="1"/>
        <v>Static</v>
      </c>
    </row>
    <row r="82" spans="1:7" ht="285">
      <c r="A82" t="s">
        <v>943</v>
      </c>
      <c r="B82" t="s">
        <v>944</v>
      </c>
      <c r="C82" s="1" t="s">
        <v>838</v>
      </c>
      <c r="G82" t="str">
        <f t="shared" si="1"/>
        <v>Static</v>
      </c>
    </row>
    <row r="83" spans="1:7" ht="255">
      <c r="A83" t="s">
        <v>950</v>
      </c>
      <c r="B83" t="s">
        <v>951</v>
      </c>
      <c r="C83" s="1" t="s">
        <v>954</v>
      </c>
      <c r="G83" t="str">
        <f t="shared" si="1"/>
        <v>!!!</v>
      </c>
    </row>
    <row r="84" spans="1:7" ht="255">
      <c r="A84" t="s">
        <v>958</v>
      </c>
      <c r="B84" t="s">
        <v>959</v>
      </c>
      <c r="C84" s="1" t="s">
        <v>960</v>
      </c>
      <c r="G84" t="str">
        <f t="shared" si="1"/>
        <v>Static</v>
      </c>
    </row>
    <row r="85" spans="1:7" ht="240">
      <c r="A85" t="s">
        <v>964</v>
      </c>
      <c r="B85" t="s">
        <v>965</v>
      </c>
      <c r="C85" s="1" t="s">
        <v>795</v>
      </c>
      <c r="G85" t="str">
        <f t="shared" si="1"/>
        <v>!!!</v>
      </c>
    </row>
    <row r="86" spans="1:7" ht="285">
      <c r="A86" t="s">
        <v>971</v>
      </c>
      <c r="B86" t="s">
        <v>972</v>
      </c>
      <c r="C86" s="1" t="s">
        <v>976</v>
      </c>
      <c r="G86" t="str">
        <f t="shared" si="1"/>
        <v>rot or static</v>
      </c>
    </row>
    <row r="87" spans="1:7" ht="195">
      <c r="A87" t="s">
        <v>982</v>
      </c>
      <c r="B87" t="s">
        <v>983</v>
      </c>
      <c r="C87" s="1" t="s">
        <v>986</v>
      </c>
      <c r="G87" t="str">
        <f t="shared" si="1"/>
        <v>Static</v>
      </c>
    </row>
    <row r="88" spans="1:7" ht="285">
      <c r="A88" t="s">
        <v>991</v>
      </c>
      <c r="B88" t="s">
        <v>992</v>
      </c>
      <c r="C88" s="1" t="s">
        <v>996</v>
      </c>
      <c r="G88" t="str">
        <f t="shared" si="1"/>
        <v>Static</v>
      </c>
    </row>
    <row r="89" spans="1:7" ht="225">
      <c r="A89" t="s">
        <v>1002</v>
      </c>
      <c r="B89" t="s">
        <v>1003</v>
      </c>
      <c r="C89" s="1" t="s">
        <v>1006</v>
      </c>
      <c r="G89" t="str">
        <f t="shared" si="1"/>
        <v>rot or static</v>
      </c>
    </row>
    <row r="90" spans="1:7" ht="240">
      <c r="A90" t="s">
        <v>1009</v>
      </c>
      <c r="B90" t="s">
        <v>1010</v>
      </c>
      <c r="C90" s="1" t="s">
        <v>1014</v>
      </c>
      <c r="G90" t="str">
        <f t="shared" si="1"/>
        <v>Static</v>
      </c>
    </row>
    <row r="91" spans="1:7" ht="255">
      <c r="A91" t="s">
        <v>1018</v>
      </c>
      <c r="B91" t="s">
        <v>1019</v>
      </c>
      <c r="C91" s="1" t="s">
        <v>1023</v>
      </c>
      <c r="G91" t="str">
        <f t="shared" si="1"/>
        <v>!!!</v>
      </c>
    </row>
    <row r="92" spans="1:7" ht="270">
      <c r="A92" t="s">
        <v>1030</v>
      </c>
      <c r="B92" t="s">
        <v>1031</v>
      </c>
      <c r="C92" s="1" t="s">
        <v>1034</v>
      </c>
      <c r="G92" t="str">
        <f t="shared" si="1"/>
        <v>!!!</v>
      </c>
    </row>
    <row r="93" spans="1:7" ht="135">
      <c r="A93" t="s">
        <v>1037</v>
      </c>
      <c r="B93" t="s">
        <v>1038</v>
      </c>
      <c r="C93" s="1" t="s">
        <v>1042</v>
      </c>
      <c r="G93" t="str">
        <f t="shared" si="1"/>
        <v>!!!</v>
      </c>
    </row>
    <row r="94" spans="1:7" ht="210">
      <c r="A94" t="s">
        <v>1047</v>
      </c>
      <c r="B94" t="s">
        <v>1048</v>
      </c>
      <c r="C94" s="1" t="s">
        <v>1052</v>
      </c>
      <c r="G94" t="str">
        <f t="shared" si="1"/>
        <v>rot or static</v>
      </c>
    </row>
    <row r="95" spans="1:7" ht="285">
      <c r="A95" t="s">
        <v>1058</v>
      </c>
      <c r="B95" t="s">
        <v>1059</v>
      </c>
      <c r="C95" s="1" t="s">
        <v>1062</v>
      </c>
      <c r="G95" t="str">
        <f t="shared" si="1"/>
        <v>Static</v>
      </c>
    </row>
    <row r="96" spans="1:7" ht="285">
      <c r="A96" t="s">
        <v>1067</v>
      </c>
      <c r="B96" t="s">
        <v>1068</v>
      </c>
      <c r="C96" s="1" t="s">
        <v>996</v>
      </c>
      <c r="G96" t="str">
        <f t="shared" si="1"/>
        <v>Static</v>
      </c>
    </row>
    <row r="97" spans="1:7" ht="225">
      <c r="A97" t="s">
        <v>1072</v>
      </c>
      <c r="B97" t="s">
        <v>1073</v>
      </c>
      <c r="C97" s="1" t="s">
        <v>1076</v>
      </c>
      <c r="G97" t="str">
        <f t="shared" si="1"/>
        <v>Static</v>
      </c>
    </row>
    <row r="98" spans="1:7" ht="285">
      <c r="A98" t="s">
        <v>1080</v>
      </c>
      <c r="B98" t="s">
        <v>1081</v>
      </c>
      <c r="C98" s="1" t="s">
        <v>1062</v>
      </c>
      <c r="G98" t="str">
        <f t="shared" si="1"/>
        <v>Static</v>
      </c>
    </row>
    <row r="99" spans="1:7" ht="120">
      <c r="A99" t="s">
        <v>1084</v>
      </c>
      <c r="B99" t="s">
        <v>1085</v>
      </c>
      <c r="C99" s="1" t="s">
        <v>1089</v>
      </c>
      <c r="G99" t="str">
        <f t="shared" si="1"/>
        <v>!!!</v>
      </c>
    </row>
    <row r="100" spans="1:7" ht="285">
      <c r="A100" t="s">
        <v>1093</v>
      </c>
      <c r="B100" t="s">
        <v>1094</v>
      </c>
      <c r="C100" s="1" t="s">
        <v>1097</v>
      </c>
      <c r="G100" t="str">
        <f t="shared" si="1"/>
        <v>!!!</v>
      </c>
    </row>
    <row r="101" spans="1:7" ht="135">
      <c r="A101" t="s">
        <v>1100</v>
      </c>
      <c r="B101" t="s">
        <v>1101</v>
      </c>
      <c r="C101" s="1" t="s">
        <v>1104</v>
      </c>
      <c r="G101" t="str">
        <f t="shared" si="1"/>
        <v>!!!</v>
      </c>
    </row>
    <row r="102" spans="1:7" ht="135">
      <c r="A102" t="s">
        <v>1107</v>
      </c>
      <c r="B102" t="s">
        <v>1108</v>
      </c>
      <c r="C102" s="1" t="s">
        <v>1111</v>
      </c>
      <c r="G102" t="str">
        <f t="shared" si="1"/>
        <v>!!!</v>
      </c>
    </row>
    <row r="103" spans="1:7" ht="225">
      <c r="A103" t="s">
        <v>1114</v>
      </c>
      <c r="B103" t="s">
        <v>1115</v>
      </c>
      <c r="C103" s="1" t="s">
        <v>1118</v>
      </c>
      <c r="G103" t="str">
        <f t="shared" si="1"/>
        <v>rot or static</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A016E-1B01-4D09-B2AA-763F57A98637}">
  <dimension ref="A1:C103"/>
  <sheetViews>
    <sheetView workbookViewId="0">
      <selection activeCell="B2" sqref="B2"/>
    </sheetView>
  </sheetViews>
  <sheetFormatPr defaultRowHeight="15"/>
  <cols>
    <col min="2" max="2" width="52" customWidth="1"/>
    <col min="3" max="3" width="95.85546875" customWidth="1"/>
  </cols>
  <sheetData>
    <row r="1" spans="1:3">
      <c r="A1" s="2" t="s">
        <v>0</v>
      </c>
      <c r="B1" s="2" t="s">
        <v>1</v>
      </c>
      <c r="C1" s="5" t="s">
        <v>1138</v>
      </c>
    </row>
    <row r="2" spans="1:3" ht="345">
      <c r="A2" t="s">
        <v>57</v>
      </c>
      <c r="B2" t="s">
        <v>58</v>
      </c>
      <c r="C2" s="1" t="s">
        <v>65</v>
      </c>
    </row>
    <row r="3" spans="1:3" ht="240">
      <c r="A3" t="s">
        <v>73</v>
      </c>
      <c r="B3" t="s">
        <v>74</v>
      </c>
      <c r="C3" s="1" t="s">
        <v>79</v>
      </c>
    </row>
    <row r="4" spans="1:3" ht="409.5">
      <c r="A4" t="s">
        <v>85</v>
      </c>
      <c r="B4" t="s">
        <v>86</v>
      </c>
      <c r="C4" s="1" t="s">
        <v>92</v>
      </c>
    </row>
    <row r="5" spans="1:3" ht="210">
      <c r="A5" t="s">
        <v>99</v>
      </c>
      <c r="B5" t="s">
        <v>100</v>
      </c>
      <c r="C5" s="1" t="s">
        <v>106</v>
      </c>
    </row>
    <row r="6" spans="1:3" ht="210">
      <c r="A6" t="s">
        <v>112</v>
      </c>
      <c r="B6" t="s">
        <v>113</v>
      </c>
      <c r="C6" s="1" t="s">
        <v>118</v>
      </c>
    </row>
    <row r="7" spans="1:3" ht="210">
      <c r="A7" t="s">
        <v>124</v>
      </c>
      <c r="B7" t="s">
        <v>125</v>
      </c>
      <c r="C7" s="1" t="s">
        <v>130</v>
      </c>
    </row>
    <row r="8" spans="1:3" ht="180">
      <c r="A8" t="s">
        <v>135</v>
      </c>
      <c r="B8" t="s">
        <v>136</v>
      </c>
      <c r="C8" s="1" t="s">
        <v>141</v>
      </c>
    </row>
    <row r="9" spans="1:3" ht="150">
      <c r="A9" t="s">
        <v>147</v>
      </c>
      <c r="B9" t="s">
        <v>148</v>
      </c>
      <c r="C9" s="1" t="s">
        <v>155</v>
      </c>
    </row>
    <row r="10" spans="1:3" ht="210">
      <c r="A10" t="s">
        <v>161</v>
      </c>
      <c r="B10" t="s">
        <v>162</v>
      </c>
      <c r="C10" s="1" t="s">
        <v>167</v>
      </c>
    </row>
    <row r="11" spans="1:3" ht="390">
      <c r="A11" t="s">
        <v>172</v>
      </c>
      <c r="B11" t="s">
        <v>173</v>
      </c>
      <c r="C11" s="1" t="s">
        <v>178</v>
      </c>
    </row>
    <row r="12" spans="1:3" ht="195">
      <c r="A12" t="s">
        <v>183</v>
      </c>
      <c r="B12" t="s">
        <v>184</v>
      </c>
      <c r="C12" s="1" t="s">
        <v>189</v>
      </c>
    </row>
    <row r="13" spans="1:3" ht="60">
      <c r="A13" t="s">
        <v>195</v>
      </c>
      <c r="B13" t="s">
        <v>196</v>
      </c>
      <c r="C13" s="1" t="s">
        <v>201</v>
      </c>
    </row>
    <row r="14" spans="1:3" ht="255">
      <c r="A14" t="s">
        <v>207</v>
      </c>
      <c r="B14" t="s">
        <v>208</v>
      </c>
      <c r="C14" s="1" t="s">
        <v>213</v>
      </c>
    </row>
    <row r="15" spans="1:3" ht="135">
      <c r="A15" t="s">
        <v>218</v>
      </c>
      <c r="B15" t="s">
        <v>219</v>
      </c>
      <c r="C15" s="1" t="s">
        <v>224</v>
      </c>
    </row>
    <row r="16" spans="1:3" ht="210">
      <c r="A16" t="s">
        <v>228</v>
      </c>
      <c r="B16" t="s">
        <v>229</v>
      </c>
      <c r="C16" s="1" t="s">
        <v>236</v>
      </c>
    </row>
    <row r="17" spans="1:3" ht="105">
      <c r="A17" t="s">
        <v>241</v>
      </c>
      <c r="B17" t="s">
        <v>242</v>
      </c>
      <c r="C17" s="1" t="s">
        <v>247</v>
      </c>
    </row>
    <row r="18" spans="1:3" ht="195">
      <c r="A18" t="s">
        <v>253</v>
      </c>
      <c r="B18" t="s">
        <v>254</v>
      </c>
      <c r="C18" s="1" t="s">
        <v>259</v>
      </c>
    </row>
    <row r="19" spans="1:3" ht="360">
      <c r="A19" t="s">
        <v>264</v>
      </c>
      <c r="B19" t="s">
        <v>265</v>
      </c>
      <c r="C19" s="1" t="s">
        <v>270</v>
      </c>
    </row>
    <row r="20" spans="1:3" ht="105">
      <c r="A20" t="s">
        <v>276</v>
      </c>
      <c r="B20" t="s">
        <v>277</v>
      </c>
      <c r="C20" s="1" t="s">
        <v>282</v>
      </c>
    </row>
    <row r="21" spans="1:3" ht="195">
      <c r="A21" t="s">
        <v>287</v>
      </c>
      <c r="B21" t="s">
        <v>288</v>
      </c>
      <c r="C21" s="1" t="s">
        <v>295</v>
      </c>
    </row>
    <row r="22" spans="1:3" ht="330">
      <c r="A22" t="s">
        <v>302</v>
      </c>
      <c r="B22" t="s">
        <v>303</v>
      </c>
      <c r="C22" s="1" t="s">
        <v>308</v>
      </c>
    </row>
    <row r="23" spans="1:3" ht="165">
      <c r="A23" t="s">
        <v>313</v>
      </c>
      <c r="B23" t="s">
        <v>314</v>
      </c>
      <c r="C23" s="1" t="s">
        <v>318</v>
      </c>
    </row>
    <row r="24" spans="1:3" ht="240">
      <c r="A24" t="s">
        <v>323</v>
      </c>
      <c r="B24" t="s">
        <v>324</v>
      </c>
      <c r="C24" s="1" t="s">
        <v>329</v>
      </c>
    </row>
    <row r="25" spans="1:3" ht="120">
      <c r="A25" t="s">
        <v>334</v>
      </c>
      <c r="B25" t="s">
        <v>335</v>
      </c>
      <c r="C25" s="1" t="s">
        <v>340</v>
      </c>
    </row>
    <row r="26" spans="1:3" ht="345">
      <c r="A26" t="s">
        <v>345</v>
      </c>
      <c r="B26" t="s">
        <v>346</v>
      </c>
      <c r="C26" s="1" t="s">
        <v>351</v>
      </c>
    </row>
    <row r="27" spans="1:3" ht="90">
      <c r="A27" t="s">
        <v>357</v>
      </c>
      <c r="B27" t="s">
        <v>358</v>
      </c>
      <c r="C27" s="1" t="s">
        <v>364</v>
      </c>
    </row>
    <row r="28" spans="1:3" ht="225">
      <c r="A28" t="s">
        <v>368</v>
      </c>
      <c r="B28" t="s">
        <v>369</v>
      </c>
      <c r="C28" s="1" t="s">
        <v>374</v>
      </c>
    </row>
    <row r="29" spans="1:3" ht="165">
      <c r="A29" t="s">
        <v>379</v>
      </c>
      <c r="B29" t="s">
        <v>380</v>
      </c>
      <c r="C29" s="1" t="s">
        <v>385</v>
      </c>
    </row>
    <row r="30" spans="1:3" ht="90">
      <c r="A30" t="s">
        <v>387</v>
      </c>
      <c r="B30" t="s">
        <v>388</v>
      </c>
      <c r="C30" s="1" t="s">
        <v>392</v>
      </c>
    </row>
    <row r="31" spans="1:3" ht="165">
      <c r="A31" t="s">
        <v>396</v>
      </c>
      <c r="B31" t="s">
        <v>397</v>
      </c>
      <c r="C31" s="1" t="s">
        <v>402</v>
      </c>
    </row>
    <row r="32" spans="1:3" ht="120">
      <c r="A32" t="s">
        <v>409</v>
      </c>
      <c r="B32" t="s">
        <v>410</v>
      </c>
      <c r="C32" s="1" t="s">
        <v>415</v>
      </c>
    </row>
    <row r="33" spans="1:3" ht="45">
      <c r="A33" t="s">
        <v>421</v>
      </c>
      <c r="B33" t="s">
        <v>422</v>
      </c>
      <c r="C33" s="1" t="s">
        <v>427</v>
      </c>
    </row>
    <row r="34" spans="1:3" ht="225">
      <c r="A34" t="s">
        <v>431</v>
      </c>
      <c r="B34" t="s">
        <v>432</v>
      </c>
      <c r="C34" s="1" t="s">
        <v>437</v>
      </c>
    </row>
    <row r="35" spans="1:3" ht="195">
      <c r="A35" t="s">
        <v>442</v>
      </c>
      <c r="B35" t="s">
        <v>443</v>
      </c>
      <c r="C35" s="1" t="s">
        <v>448</v>
      </c>
    </row>
    <row r="36" spans="1:3" ht="255">
      <c r="A36" t="s">
        <v>453</v>
      </c>
      <c r="B36" t="s">
        <v>454</v>
      </c>
      <c r="C36" s="1" t="s">
        <v>459</v>
      </c>
    </row>
    <row r="37" spans="1:3" ht="75">
      <c r="A37" t="s">
        <v>464</v>
      </c>
      <c r="B37" t="s">
        <v>465</v>
      </c>
      <c r="C37" s="1" t="s">
        <v>470</v>
      </c>
    </row>
    <row r="38" spans="1:3" ht="225">
      <c r="A38" t="s">
        <v>476</v>
      </c>
      <c r="B38" t="s">
        <v>477</v>
      </c>
      <c r="C38" s="1" t="s">
        <v>480</v>
      </c>
    </row>
    <row r="39" spans="1:3" ht="210">
      <c r="A39" t="s">
        <v>483</v>
      </c>
      <c r="B39" t="s">
        <v>484</v>
      </c>
      <c r="C39" s="1" t="s">
        <v>489</v>
      </c>
    </row>
    <row r="40" spans="1:3" ht="105">
      <c r="A40" t="s">
        <v>494</v>
      </c>
      <c r="B40" t="s">
        <v>495</v>
      </c>
      <c r="C40" s="1" t="s">
        <v>500</v>
      </c>
    </row>
    <row r="41" spans="1:3" ht="180">
      <c r="A41" t="s">
        <v>507</v>
      </c>
      <c r="B41" t="s">
        <v>508</v>
      </c>
      <c r="C41" s="1" t="s">
        <v>513</v>
      </c>
    </row>
    <row r="42" spans="1:3" ht="180">
      <c r="A42" t="s">
        <v>517</v>
      </c>
      <c r="B42" t="s">
        <v>518</v>
      </c>
      <c r="C42" s="1" t="s">
        <v>522</v>
      </c>
    </row>
    <row r="43" spans="1:3" ht="270">
      <c r="A43" t="s">
        <v>526</v>
      </c>
      <c r="B43" t="s">
        <v>527</v>
      </c>
      <c r="C43" s="1" t="s">
        <v>530</v>
      </c>
    </row>
    <row r="44" spans="1:3" ht="90">
      <c r="A44" t="s">
        <v>535</v>
      </c>
      <c r="B44" t="s">
        <v>536</v>
      </c>
      <c r="C44" s="1" t="s">
        <v>542</v>
      </c>
    </row>
    <row r="45" spans="1:3">
      <c r="A45" t="s">
        <v>548</v>
      </c>
      <c r="B45" t="s">
        <v>549</v>
      </c>
      <c r="C45" s="1" t="s">
        <v>554</v>
      </c>
    </row>
    <row r="46" spans="1:3" ht="270">
      <c r="A46" t="s">
        <v>559</v>
      </c>
      <c r="B46" t="s">
        <v>560</v>
      </c>
      <c r="C46" s="1" t="s">
        <v>565</v>
      </c>
    </row>
    <row r="47" spans="1:3" ht="90">
      <c r="A47" t="s">
        <v>570</v>
      </c>
      <c r="B47" t="s">
        <v>571</v>
      </c>
      <c r="C47" s="1" t="s">
        <v>576</v>
      </c>
    </row>
    <row r="48" spans="1:3" ht="120">
      <c r="A48" t="s">
        <v>581</v>
      </c>
      <c r="B48" t="s">
        <v>582</v>
      </c>
      <c r="C48" s="1" t="s">
        <v>587</v>
      </c>
    </row>
    <row r="49" spans="1:3" ht="60">
      <c r="A49" t="s">
        <v>591</v>
      </c>
      <c r="B49" t="s">
        <v>592</v>
      </c>
      <c r="C49" s="1" t="s">
        <v>597</v>
      </c>
    </row>
    <row r="50" spans="1:3" ht="150">
      <c r="A50" t="s">
        <v>602</v>
      </c>
      <c r="B50" t="s">
        <v>603</v>
      </c>
      <c r="C50" s="1" t="s">
        <v>608</v>
      </c>
    </row>
    <row r="51" spans="1:3" ht="105">
      <c r="A51" t="s">
        <v>611</v>
      </c>
      <c r="B51" t="s">
        <v>612</v>
      </c>
      <c r="C51" s="1" t="s">
        <v>618</v>
      </c>
    </row>
    <row r="52" spans="1:3" ht="75">
      <c r="A52" t="s">
        <v>623</v>
      </c>
      <c r="B52" t="s">
        <v>624</v>
      </c>
      <c r="C52" s="1" t="s">
        <v>627</v>
      </c>
    </row>
    <row r="53" spans="1:3" ht="240">
      <c r="A53" t="s">
        <v>631</v>
      </c>
      <c r="B53" t="s">
        <v>632</v>
      </c>
      <c r="C53" s="1" t="s">
        <v>636</v>
      </c>
    </row>
    <row r="54" spans="1:3" ht="120">
      <c r="A54" t="s">
        <v>642</v>
      </c>
      <c r="B54" t="s">
        <v>643</v>
      </c>
      <c r="C54" s="1" t="s">
        <v>648</v>
      </c>
    </row>
    <row r="55" spans="1:3" ht="195">
      <c r="A55" t="s">
        <v>654</v>
      </c>
      <c r="B55" t="s">
        <v>655</v>
      </c>
      <c r="C55" s="1" t="s">
        <v>660</v>
      </c>
    </row>
    <row r="56" spans="1:3" ht="150">
      <c r="A56" t="s">
        <v>666</v>
      </c>
      <c r="B56" t="s">
        <v>667</v>
      </c>
      <c r="C56" s="1" t="s">
        <v>673</v>
      </c>
    </row>
    <row r="57" spans="1:3" ht="375">
      <c r="A57" t="s">
        <v>678</v>
      </c>
      <c r="B57" t="s">
        <v>679</v>
      </c>
      <c r="C57" s="1" t="s">
        <v>683</v>
      </c>
    </row>
    <row r="58" spans="1:3" ht="225">
      <c r="A58" t="s">
        <v>686</v>
      </c>
      <c r="B58" t="s">
        <v>687</v>
      </c>
      <c r="C58" s="1" t="s">
        <v>693</v>
      </c>
    </row>
    <row r="59" spans="1:3" ht="285">
      <c r="A59" t="s">
        <v>698</v>
      </c>
      <c r="B59" t="s">
        <v>699</v>
      </c>
      <c r="C59" s="1" t="s">
        <v>705</v>
      </c>
    </row>
    <row r="60" spans="1:3" ht="165">
      <c r="A60" t="s">
        <v>709</v>
      </c>
      <c r="B60" t="s">
        <v>710</v>
      </c>
      <c r="C60" s="1" t="s">
        <v>715</v>
      </c>
    </row>
    <row r="61" spans="1:3" ht="135">
      <c r="A61" t="s">
        <v>720</v>
      </c>
      <c r="B61" t="s">
        <v>721</v>
      </c>
      <c r="C61" s="1" t="s">
        <v>726</v>
      </c>
    </row>
    <row r="62" spans="1:3" ht="225">
      <c r="A62" t="s">
        <v>731</v>
      </c>
      <c r="B62" t="s">
        <v>732</v>
      </c>
      <c r="C62" s="1" t="s">
        <v>737</v>
      </c>
    </row>
    <row r="63" spans="1:3" ht="120">
      <c r="A63" t="s">
        <v>743</v>
      </c>
      <c r="B63" t="s">
        <v>744</v>
      </c>
      <c r="C63" s="1" t="s">
        <v>749</v>
      </c>
    </row>
    <row r="64" spans="1:3" ht="150">
      <c r="A64" t="s">
        <v>754</v>
      </c>
      <c r="B64" t="s">
        <v>755</v>
      </c>
      <c r="C64" s="1" t="s">
        <v>760</v>
      </c>
    </row>
    <row r="65" spans="1:3" ht="225">
      <c r="A65" t="s">
        <v>765</v>
      </c>
      <c r="B65" t="s">
        <v>766</v>
      </c>
      <c r="C65" s="1" t="s">
        <v>772</v>
      </c>
    </row>
    <row r="66" spans="1:3" ht="150">
      <c r="A66" t="s">
        <v>778</v>
      </c>
      <c r="B66" t="s">
        <v>779</v>
      </c>
      <c r="C66" s="1" t="s">
        <v>785</v>
      </c>
    </row>
    <row r="67" spans="1:3" ht="225">
      <c r="A67" t="s">
        <v>791</v>
      </c>
      <c r="B67" t="s">
        <v>792</v>
      </c>
      <c r="C67" s="1" t="s">
        <v>796</v>
      </c>
    </row>
    <row r="68" spans="1:3" ht="240">
      <c r="A68" t="s">
        <v>799</v>
      </c>
      <c r="B68" t="s">
        <v>800</v>
      </c>
      <c r="C68" s="1" t="s">
        <v>805</v>
      </c>
    </row>
    <row r="69" spans="1:3" ht="30">
      <c r="A69" t="s">
        <v>811</v>
      </c>
      <c r="B69" t="s">
        <v>812</v>
      </c>
      <c r="C69" s="1" t="s">
        <v>817</v>
      </c>
    </row>
    <row r="70" spans="1:3" ht="75">
      <c r="A70" t="s">
        <v>821</v>
      </c>
      <c r="B70" t="s">
        <v>822</v>
      </c>
      <c r="C70" s="1" t="s">
        <v>828</v>
      </c>
    </row>
    <row r="71" spans="1:3" ht="270">
      <c r="A71" t="s">
        <v>833</v>
      </c>
      <c r="B71" t="s">
        <v>834</v>
      </c>
      <c r="C71" s="1" t="s">
        <v>839</v>
      </c>
    </row>
    <row r="72" spans="1:3" ht="135">
      <c r="A72" t="s">
        <v>844</v>
      </c>
      <c r="B72" t="s">
        <v>845</v>
      </c>
      <c r="C72" s="1" t="s">
        <v>850</v>
      </c>
    </row>
    <row r="73" spans="1:3" ht="165">
      <c r="A73" t="s">
        <v>855</v>
      </c>
      <c r="B73" t="s">
        <v>856</v>
      </c>
      <c r="C73" s="1" t="s">
        <v>861</v>
      </c>
    </row>
    <row r="74" spans="1:3" ht="345">
      <c r="A74" t="s">
        <v>867</v>
      </c>
      <c r="B74" t="s">
        <v>868</v>
      </c>
      <c r="C74" s="1" t="s">
        <v>351</v>
      </c>
    </row>
    <row r="75" spans="1:3" ht="210">
      <c r="A75" t="s">
        <v>876</v>
      </c>
      <c r="B75" t="s">
        <v>877</v>
      </c>
      <c r="C75" s="1" t="s">
        <v>883</v>
      </c>
    </row>
    <row r="76" spans="1:3" ht="195">
      <c r="A76" t="s">
        <v>887</v>
      </c>
      <c r="B76" t="s">
        <v>888</v>
      </c>
      <c r="C76" s="1" t="s">
        <v>893</v>
      </c>
    </row>
    <row r="77" spans="1:3" ht="240">
      <c r="A77" t="s">
        <v>899</v>
      </c>
      <c r="B77" t="s">
        <v>900</v>
      </c>
      <c r="C77" s="1" t="s">
        <v>904</v>
      </c>
    </row>
    <row r="78" spans="1:3" ht="30">
      <c r="A78" t="s">
        <v>908</v>
      </c>
      <c r="B78" t="s">
        <v>909</v>
      </c>
      <c r="C78" s="1" t="s">
        <v>817</v>
      </c>
    </row>
    <row r="79" spans="1:3" ht="270">
      <c r="A79" t="s">
        <v>915</v>
      </c>
      <c r="B79" t="s">
        <v>916</v>
      </c>
      <c r="C79" s="1" t="s">
        <v>920</v>
      </c>
    </row>
    <row r="80" spans="1:3" ht="195">
      <c r="A80" t="s">
        <v>924</v>
      </c>
      <c r="B80" t="s">
        <v>925</v>
      </c>
      <c r="C80" s="1" t="s">
        <v>930</v>
      </c>
    </row>
    <row r="81" spans="1:3" ht="75">
      <c r="A81" t="s">
        <v>935</v>
      </c>
      <c r="B81" t="s">
        <v>936</v>
      </c>
      <c r="C81" s="1" t="s">
        <v>828</v>
      </c>
    </row>
    <row r="82" spans="1:3" ht="285">
      <c r="A82" t="s">
        <v>943</v>
      </c>
      <c r="B82" t="s">
        <v>944</v>
      </c>
      <c r="C82" s="1" t="s">
        <v>947</v>
      </c>
    </row>
    <row r="83" spans="1:3" ht="75">
      <c r="A83" t="s">
        <v>950</v>
      </c>
      <c r="B83" t="s">
        <v>951</v>
      </c>
      <c r="C83" s="1" t="s">
        <v>828</v>
      </c>
    </row>
    <row r="84" spans="1:3" ht="210">
      <c r="A84" t="s">
        <v>958</v>
      </c>
      <c r="B84" t="s">
        <v>959</v>
      </c>
      <c r="C84" s="1" t="s">
        <v>961</v>
      </c>
    </row>
    <row r="85" spans="1:3" ht="225">
      <c r="A85" t="s">
        <v>964</v>
      </c>
      <c r="B85" t="s">
        <v>965</v>
      </c>
      <c r="C85" s="1" t="s">
        <v>968</v>
      </c>
    </row>
    <row r="86" spans="1:3" ht="135">
      <c r="A86" t="s">
        <v>971</v>
      </c>
      <c r="B86" t="s">
        <v>972</v>
      </c>
      <c r="C86" s="1" t="s">
        <v>977</v>
      </c>
    </row>
    <row r="87" spans="1:3" ht="45">
      <c r="A87" t="s">
        <v>982</v>
      </c>
      <c r="B87" t="s">
        <v>983</v>
      </c>
      <c r="C87" s="1" t="s">
        <v>987</v>
      </c>
    </row>
    <row r="88" spans="1:3" ht="330">
      <c r="A88" t="s">
        <v>991</v>
      </c>
      <c r="B88" t="s">
        <v>992</v>
      </c>
      <c r="C88" s="1" t="s">
        <v>997</v>
      </c>
    </row>
    <row r="89" spans="1:3" ht="30">
      <c r="A89" t="s">
        <v>1002</v>
      </c>
      <c r="B89" t="s">
        <v>1003</v>
      </c>
      <c r="C89" s="1" t="s">
        <v>817</v>
      </c>
    </row>
    <row r="90" spans="1:3" ht="90">
      <c r="A90" t="s">
        <v>1009</v>
      </c>
      <c r="B90" t="s">
        <v>1010</v>
      </c>
      <c r="C90" s="1" t="s">
        <v>1015</v>
      </c>
    </row>
    <row r="91" spans="1:3" ht="195">
      <c r="A91" t="s">
        <v>1018</v>
      </c>
      <c r="B91" t="s">
        <v>1019</v>
      </c>
      <c r="C91" s="1" t="s">
        <v>1024</v>
      </c>
    </row>
    <row r="92" spans="1:3" ht="30">
      <c r="A92" t="s">
        <v>1030</v>
      </c>
      <c r="B92" t="s">
        <v>1031</v>
      </c>
      <c r="C92" s="1" t="s">
        <v>817</v>
      </c>
    </row>
    <row r="93" spans="1:3" ht="60">
      <c r="A93" t="s">
        <v>1037</v>
      </c>
      <c r="B93" t="s">
        <v>1038</v>
      </c>
      <c r="C93" s="1" t="s">
        <v>1043</v>
      </c>
    </row>
    <row r="94" spans="1:3" ht="30">
      <c r="A94" t="s">
        <v>1047</v>
      </c>
      <c r="B94" t="s">
        <v>1048</v>
      </c>
      <c r="C94" s="1" t="s">
        <v>1053</v>
      </c>
    </row>
    <row r="95" spans="1:3" ht="360">
      <c r="A95" t="s">
        <v>1058</v>
      </c>
      <c r="B95" t="s">
        <v>1059</v>
      </c>
      <c r="C95" s="1" t="s">
        <v>1063</v>
      </c>
    </row>
    <row r="96" spans="1:3" ht="360">
      <c r="A96" t="s">
        <v>1067</v>
      </c>
      <c r="B96" t="s">
        <v>1068</v>
      </c>
      <c r="C96" s="1" t="s">
        <v>1069</v>
      </c>
    </row>
    <row r="97" spans="1:3" ht="30">
      <c r="A97" t="s">
        <v>1072</v>
      </c>
      <c r="B97" t="s">
        <v>1073</v>
      </c>
      <c r="C97" s="1" t="s">
        <v>817</v>
      </c>
    </row>
    <row r="98" spans="1:3" ht="360">
      <c r="A98" t="s">
        <v>1080</v>
      </c>
      <c r="B98" t="s">
        <v>1081</v>
      </c>
      <c r="C98" s="1" t="s">
        <v>1082</v>
      </c>
    </row>
    <row r="99" spans="1:3" ht="225">
      <c r="A99" t="s">
        <v>1084</v>
      </c>
      <c r="B99" t="s">
        <v>1085</v>
      </c>
      <c r="C99" s="1" t="s">
        <v>1090</v>
      </c>
    </row>
    <row r="100" spans="1:3" ht="75">
      <c r="A100" t="s">
        <v>1093</v>
      </c>
      <c r="B100" t="s">
        <v>1094</v>
      </c>
      <c r="C100" s="1" t="s">
        <v>828</v>
      </c>
    </row>
    <row r="101" spans="1:3" ht="75">
      <c r="A101" t="s">
        <v>1100</v>
      </c>
      <c r="B101" t="s">
        <v>1101</v>
      </c>
      <c r="C101" s="1" t="s">
        <v>1105</v>
      </c>
    </row>
    <row r="102" spans="1:3" ht="75">
      <c r="A102" t="s">
        <v>1107</v>
      </c>
      <c r="B102" t="s">
        <v>1108</v>
      </c>
      <c r="C102" s="1" t="s">
        <v>1112</v>
      </c>
    </row>
    <row r="103" spans="1:3" ht="90">
      <c r="A103" t="s">
        <v>1114</v>
      </c>
      <c r="B103" t="s">
        <v>1115</v>
      </c>
      <c r="C103" s="1" t="s">
        <v>1119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1B093-E5D2-4089-AF06-B8F9EBCA16FC}">
  <dimension ref="A1:C103"/>
  <sheetViews>
    <sheetView workbookViewId="0">
      <selection activeCell="B2" sqref="B2"/>
    </sheetView>
  </sheetViews>
  <sheetFormatPr defaultRowHeight="15"/>
  <cols>
    <col min="2" max="2" width="52" customWidth="1"/>
    <col min="3" max="3" width="81.28515625" customWidth="1"/>
  </cols>
  <sheetData>
    <row r="1" spans="1:3">
      <c r="A1" s="2" t="s">
        <v>0</v>
      </c>
      <c r="B1" s="2" t="s">
        <v>1</v>
      </c>
      <c r="C1" s="5" t="s">
        <v>10</v>
      </c>
    </row>
    <row r="2" spans="1:3">
      <c r="A2" t="s">
        <v>57</v>
      </c>
      <c r="B2" t="s">
        <v>58</v>
      </c>
      <c r="C2" s="1" t="s">
        <v>66</v>
      </c>
    </row>
    <row r="3" spans="1:3" ht="75">
      <c r="A3" t="s">
        <v>73</v>
      </c>
      <c r="B3" t="s">
        <v>74</v>
      </c>
      <c r="C3" s="1" t="s">
        <v>80</v>
      </c>
    </row>
    <row r="4" spans="1:3">
      <c r="A4" t="s">
        <v>85</v>
      </c>
      <c r="B4" t="s">
        <v>86</v>
      </c>
      <c r="C4" s="1" t="s">
        <v>93</v>
      </c>
    </row>
    <row r="5" spans="1:3" ht="240">
      <c r="A5" t="s">
        <v>99</v>
      </c>
      <c r="B5" t="s">
        <v>100</v>
      </c>
      <c r="C5" s="1" t="s">
        <v>107</v>
      </c>
    </row>
    <row r="6" spans="1:3">
      <c r="A6" t="s">
        <v>112</v>
      </c>
      <c r="B6" t="s">
        <v>113</v>
      </c>
      <c r="C6" s="1" t="s">
        <v>119</v>
      </c>
    </row>
    <row r="7" spans="1:3" ht="180">
      <c r="A7" t="s">
        <v>124</v>
      </c>
      <c r="B7" t="s">
        <v>125</v>
      </c>
      <c r="C7" s="1" t="s">
        <v>131</v>
      </c>
    </row>
    <row r="8" spans="1:3">
      <c r="A8" t="s">
        <v>135</v>
      </c>
      <c r="B8" t="s">
        <v>136</v>
      </c>
      <c r="C8" s="1" t="s">
        <v>142</v>
      </c>
    </row>
    <row r="9" spans="1:3" ht="120">
      <c r="A9" t="s">
        <v>147</v>
      </c>
      <c r="B9" t="s">
        <v>148</v>
      </c>
      <c r="C9" s="1" t="s">
        <v>156</v>
      </c>
    </row>
    <row r="10" spans="1:3" ht="150">
      <c r="A10" t="s">
        <v>161</v>
      </c>
      <c r="B10" t="s">
        <v>162</v>
      </c>
      <c r="C10" s="1" t="s">
        <v>168</v>
      </c>
    </row>
    <row r="11" spans="1:3" ht="60">
      <c r="A11" t="s">
        <v>172</v>
      </c>
      <c r="B11" t="s">
        <v>173</v>
      </c>
      <c r="C11" s="1" t="s">
        <v>179</v>
      </c>
    </row>
    <row r="12" spans="1:3" ht="75">
      <c r="A12" t="s">
        <v>183</v>
      </c>
      <c r="B12" t="s">
        <v>184</v>
      </c>
      <c r="C12" s="1" t="s">
        <v>190</v>
      </c>
    </row>
    <row r="13" spans="1:3" ht="60">
      <c r="A13" t="s">
        <v>195</v>
      </c>
      <c r="B13" t="s">
        <v>196</v>
      </c>
      <c r="C13" s="1" t="s">
        <v>202</v>
      </c>
    </row>
    <row r="14" spans="1:3" ht="120">
      <c r="A14" t="s">
        <v>207</v>
      </c>
      <c r="B14" t="s">
        <v>208</v>
      </c>
      <c r="C14" s="1" t="s">
        <v>214</v>
      </c>
    </row>
    <row r="15" spans="1:3">
      <c r="A15" t="s">
        <v>218</v>
      </c>
      <c r="B15" t="s">
        <v>219</v>
      </c>
      <c r="C15" s="1" t="s">
        <v>142</v>
      </c>
    </row>
    <row r="16" spans="1:3" ht="30">
      <c r="A16" t="s">
        <v>228</v>
      </c>
      <c r="B16" t="s">
        <v>229</v>
      </c>
      <c r="C16" s="1" t="s">
        <v>237</v>
      </c>
    </row>
    <row r="17" spans="1:3">
      <c r="A17" t="s">
        <v>241</v>
      </c>
      <c r="B17" t="s">
        <v>242</v>
      </c>
      <c r="C17" s="1" t="s">
        <v>119</v>
      </c>
    </row>
    <row r="18" spans="1:3" ht="60">
      <c r="A18" t="s">
        <v>253</v>
      </c>
      <c r="B18" t="s">
        <v>254</v>
      </c>
      <c r="C18" s="1" t="s">
        <v>260</v>
      </c>
    </row>
    <row r="19" spans="1:3" ht="60">
      <c r="A19" t="s">
        <v>264</v>
      </c>
      <c r="B19" t="s">
        <v>265</v>
      </c>
      <c r="C19" s="1" t="s">
        <v>271</v>
      </c>
    </row>
    <row r="20" spans="1:3" ht="90">
      <c r="A20" t="s">
        <v>276</v>
      </c>
      <c r="B20" t="s">
        <v>277</v>
      </c>
      <c r="C20" s="1" t="s">
        <v>283</v>
      </c>
    </row>
    <row r="21" spans="1:3" ht="60">
      <c r="A21" t="s">
        <v>287</v>
      </c>
      <c r="B21" t="s">
        <v>288</v>
      </c>
      <c r="C21" s="1" t="s">
        <v>296</v>
      </c>
    </row>
    <row r="22" spans="1:3" ht="30">
      <c r="A22" t="s">
        <v>302</v>
      </c>
      <c r="B22" t="s">
        <v>303</v>
      </c>
      <c r="C22" s="1" t="s">
        <v>309</v>
      </c>
    </row>
    <row r="23" spans="1:3" ht="75">
      <c r="A23" t="s">
        <v>313</v>
      </c>
      <c r="B23" t="s">
        <v>314</v>
      </c>
      <c r="C23" s="1" t="s">
        <v>319</v>
      </c>
    </row>
    <row r="24" spans="1:3" ht="45">
      <c r="A24" t="s">
        <v>323</v>
      </c>
      <c r="B24" t="s">
        <v>324</v>
      </c>
      <c r="C24" s="1" t="s">
        <v>330</v>
      </c>
    </row>
    <row r="25" spans="1:3" ht="75">
      <c r="A25" t="s">
        <v>334</v>
      </c>
      <c r="B25" t="s">
        <v>335</v>
      </c>
      <c r="C25" s="1" t="s">
        <v>341</v>
      </c>
    </row>
    <row r="26" spans="1:3" ht="120">
      <c r="A26" t="s">
        <v>345</v>
      </c>
      <c r="B26" t="s">
        <v>346</v>
      </c>
      <c r="C26" s="1" t="s">
        <v>352</v>
      </c>
    </row>
    <row r="27" spans="1:3">
      <c r="A27" t="s">
        <v>357</v>
      </c>
      <c r="B27" t="s">
        <v>358</v>
      </c>
      <c r="C27" s="1" t="s">
        <v>119</v>
      </c>
    </row>
    <row r="28" spans="1:3" ht="105">
      <c r="A28" t="s">
        <v>368</v>
      </c>
      <c r="B28" t="s">
        <v>369</v>
      </c>
      <c r="C28" s="1" t="s">
        <v>375</v>
      </c>
    </row>
    <row r="29" spans="1:3">
      <c r="A29" t="s">
        <v>379</v>
      </c>
      <c r="B29" t="s">
        <v>380</v>
      </c>
      <c r="C29" s="1" t="s">
        <v>142</v>
      </c>
    </row>
    <row r="30" spans="1:3">
      <c r="A30" t="s">
        <v>387</v>
      </c>
      <c r="B30" t="s">
        <v>388</v>
      </c>
      <c r="C30" s="1" t="s">
        <v>119</v>
      </c>
    </row>
    <row r="31" spans="1:3" ht="60">
      <c r="A31" t="s">
        <v>396</v>
      </c>
      <c r="B31" t="s">
        <v>397</v>
      </c>
      <c r="C31" s="1" t="s">
        <v>403</v>
      </c>
    </row>
    <row r="32" spans="1:3" ht="60">
      <c r="A32" t="s">
        <v>409</v>
      </c>
      <c r="B32" t="s">
        <v>410</v>
      </c>
      <c r="C32" s="1" t="s">
        <v>416</v>
      </c>
    </row>
    <row r="33" spans="1:3">
      <c r="A33" t="s">
        <v>421</v>
      </c>
      <c r="B33" t="s">
        <v>422</v>
      </c>
      <c r="C33" s="1" t="s">
        <v>66</v>
      </c>
    </row>
    <row r="34" spans="1:3">
      <c r="A34" t="s">
        <v>431</v>
      </c>
      <c r="B34" t="s">
        <v>432</v>
      </c>
      <c r="C34" s="1" t="s">
        <v>142</v>
      </c>
    </row>
    <row r="35" spans="1:3" ht="60">
      <c r="A35" t="s">
        <v>442</v>
      </c>
      <c r="B35" t="s">
        <v>443</v>
      </c>
      <c r="C35" s="1" t="s">
        <v>449</v>
      </c>
    </row>
    <row r="36" spans="1:3">
      <c r="A36" t="s">
        <v>453</v>
      </c>
      <c r="B36" t="s">
        <v>454</v>
      </c>
      <c r="C36" s="1" t="s">
        <v>66</v>
      </c>
    </row>
    <row r="37" spans="1:3" ht="60">
      <c r="A37" t="s">
        <v>464</v>
      </c>
      <c r="B37" t="s">
        <v>465</v>
      </c>
      <c r="C37" s="1" t="s">
        <v>471</v>
      </c>
    </row>
    <row r="38" spans="1:3">
      <c r="A38" t="s">
        <v>476</v>
      </c>
      <c r="B38" t="s">
        <v>477</v>
      </c>
      <c r="C38" s="1" t="s">
        <v>142</v>
      </c>
    </row>
    <row r="39" spans="1:3" ht="105">
      <c r="A39" t="s">
        <v>483</v>
      </c>
      <c r="B39" t="s">
        <v>484</v>
      </c>
      <c r="C39" s="1" t="s">
        <v>490</v>
      </c>
    </row>
    <row r="40" spans="1:3" ht="45">
      <c r="A40" t="s">
        <v>494</v>
      </c>
      <c r="B40" t="s">
        <v>495</v>
      </c>
      <c r="C40" s="1" t="s">
        <v>501</v>
      </c>
    </row>
    <row r="41" spans="1:3">
      <c r="A41" t="s">
        <v>507</v>
      </c>
      <c r="B41" t="s">
        <v>508</v>
      </c>
      <c r="C41" s="1" t="s">
        <v>66</v>
      </c>
    </row>
    <row r="42" spans="1:3">
      <c r="A42" t="s">
        <v>517</v>
      </c>
      <c r="B42" t="s">
        <v>518</v>
      </c>
      <c r="C42" s="1" t="s">
        <v>93</v>
      </c>
    </row>
    <row r="43" spans="1:3" ht="45">
      <c r="A43" t="s">
        <v>526</v>
      </c>
      <c r="B43" t="s">
        <v>527</v>
      </c>
      <c r="C43" s="1" t="s">
        <v>531</v>
      </c>
    </row>
    <row r="44" spans="1:3" ht="60">
      <c r="A44" t="s">
        <v>535</v>
      </c>
      <c r="B44" t="s">
        <v>536</v>
      </c>
      <c r="C44" s="1" t="s">
        <v>543</v>
      </c>
    </row>
    <row r="45" spans="1:3" ht="30">
      <c r="A45" t="s">
        <v>548</v>
      </c>
      <c r="B45" t="s">
        <v>549</v>
      </c>
      <c r="C45" s="1" t="s">
        <v>555</v>
      </c>
    </row>
    <row r="46" spans="1:3" ht="60">
      <c r="A46" t="s">
        <v>559</v>
      </c>
      <c r="B46" t="s">
        <v>560</v>
      </c>
      <c r="C46" s="1" t="s">
        <v>566</v>
      </c>
    </row>
    <row r="47" spans="1:3" ht="75">
      <c r="A47" t="s">
        <v>570</v>
      </c>
      <c r="B47" t="s">
        <v>571</v>
      </c>
      <c r="C47" s="1" t="s">
        <v>577</v>
      </c>
    </row>
    <row r="48" spans="1:3">
      <c r="A48" t="s">
        <v>581</v>
      </c>
      <c r="B48" t="s">
        <v>582</v>
      </c>
      <c r="C48" s="1" t="s">
        <v>66</v>
      </c>
    </row>
    <row r="49" spans="1:3" ht="60">
      <c r="A49" t="s">
        <v>591</v>
      </c>
      <c r="B49" t="s">
        <v>592</v>
      </c>
      <c r="C49" s="1" t="s">
        <v>598</v>
      </c>
    </row>
    <row r="50" spans="1:3">
      <c r="A50" t="s">
        <v>602</v>
      </c>
      <c r="B50" t="s">
        <v>603</v>
      </c>
      <c r="C50" s="1" t="s">
        <v>119</v>
      </c>
    </row>
    <row r="51" spans="1:3" ht="60">
      <c r="A51" t="s">
        <v>611</v>
      </c>
      <c r="B51" t="s">
        <v>612</v>
      </c>
      <c r="C51" s="1" t="s">
        <v>619</v>
      </c>
    </row>
    <row r="52" spans="1:3" ht="60">
      <c r="A52" t="s">
        <v>623</v>
      </c>
      <c r="B52" t="s">
        <v>624</v>
      </c>
      <c r="C52" s="1" t="s">
        <v>179</v>
      </c>
    </row>
    <row r="53" spans="1:3" ht="60">
      <c r="A53" t="s">
        <v>631</v>
      </c>
      <c r="B53" t="s">
        <v>632</v>
      </c>
      <c r="C53" s="1" t="s">
        <v>637</v>
      </c>
    </row>
    <row r="54" spans="1:3" ht="45">
      <c r="A54" t="s">
        <v>642</v>
      </c>
      <c r="B54" t="s">
        <v>643</v>
      </c>
      <c r="C54" s="1" t="s">
        <v>649</v>
      </c>
    </row>
    <row r="55" spans="1:3" ht="60">
      <c r="A55" t="s">
        <v>654</v>
      </c>
      <c r="B55" t="s">
        <v>655</v>
      </c>
      <c r="C55" s="1" t="s">
        <v>661</v>
      </c>
    </row>
    <row r="56" spans="1:3" ht="45">
      <c r="A56" t="s">
        <v>666</v>
      </c>
      <c r="B56" t="s">
        <v>667</v>
      </c>
      <c r="C56" s="1" t="s">
        <v>674</v>
      </c>
    </row>
    <row r="57" spans="1:3" ht="60">
      <c r="A57" t="s">
        <v>678</v>
      </c>
      <c r="B57" t="s">
        <v>679</v>
      </c>
      <c r="C57" s="1" t="s">
        <v>271</v>
      </c>
    </row>
    <row r="58" spans="1:3" ht="45">
      <c r="A58" t="s">
        <v>686</v>
      </c>
      <c r="B58" t="s">
        <v>687</v>
      </c>
      <c r="C58" s="1" t="s">
        <v>694</v>
      </c>
    </row>
    <row r="59" spans="1:3" ht="45">
      <c r="A59" t="s">
        <v>698</v>
      </c>
      <c r="B59" t="s">
        <v>699</v>
      </c>
      <c r="C59" s="1" t="s">
        <v>531</v>
      </c>
    </row>
    <row r="60" spans="1:3" ht="30">
      <c r="A60" t="s">
        <v>709</v>
      </c>
      <c r="B60" t="s">
        <v>710</v>
      </c>
      <c r="C60" s="1" t="s">
        <v>716</v>
      </c>
    </row>
    <row r="61" spans="1:3" ht="105">
      <c r="A61" t="s">
        <v>720</v>
      </c>
      <c r="B61" t="s">
        <v>721</v>
      </c>
      <c r="C61" s="1" t="s">
        <v>727</v>
      </c>
    </row>
    <row r="62" spans="1:3" ht="60">
      <c r="A62" t="s">
        <v>731</v>
      </c>
      <c r="B62" t="s">
        <v>732</v>
      </c>
      <c r="C62" s="1" t="s">
        <v>738</v>
      </c>
    </row>
    <row r="63" spans="1:3" ht="75">
      <c r="A63" t="s">
        <v>743</v>
      </c>
      <c r="B63" t="s">
        <v>744</v>
      </c>
      <c r="C63" s="1" t="s">
        <v>750</v>
      </c>
    </row>
    <row r="64" spans="1:3" ht="75">
      <c r="A64" t="s">
        <v>754</v>
      </c>
      <c r="B64" t="s">
        <v>755</v>
      </c>
      <c r="C64" s="1" t="s">
        <v>761</v>
      </c>
    </row>
    <row r="65" spans="1:3" ht="105">
      <c r="A65" t="s">
        <v>765</v>
      </c>
      <c r="B65" t="s">
        <v>766</v>
      </c>
      <c r="C65" s="1" t="s">
        <v>773</v>
      </c>
    </row>
    <row r="66" spans="1:3" ht="75">
      <c r="A66" t="s">
        <v>778</v>
      </c>
      <c r="B66" t="s">
        <v>779</v>
      </c>
      <c r="C66" s="1" t="s">
        <v>786</v>
      </c>
    </row>
    <row r="67" spans="1:3">
      <c r="A67" t="s">
        <v>791</v>
      </c>
      <c r="B67" t="s">
        <v>792</v>
      </c>
      <c r="C67" s="1" t="s">
        <v>142</v>
      </c>
    </row>
    <row r="68" spans="1:3" ht="30">
      <c r="A68" t="s">
        <v>799</v>
      </c>
      <c r="B68" t="s">
        <v>800</v>
      </c>
      <c r="C68" s="1" t="s">
        <v>806</v>
      </c>
    </row>
    <row r="69" spans="1:3">
      <c r="A69" t="s">
        <v>811</v>
      </c>
      <c r="B69" t="s">
        <v>812</v>
      </c>
      <c r="C69" s="1" t="s">
        <v>119</v>
      </c>
    </row>
    <row r="70" spans="1:3" ht="30">
      <c r="A70" t="s">
        <v>821</v>
      </c>
      <c r="B70" t="s">
        <v>822</v>
      </c>
      <c r="C70" s="1" t="s">
        <v>829</v>
      </c>
    </row>
    <row r="71" spans="1:3">
      <c r="A71" t="s">
        <v>833</v>
      </c>
      <c r="B71" t="s">
        <v>834</v>
      </c>
      <c r="C71" s="1" t="s">
        <v>119</v>
      </c>
    </row>
    <row r="72" spans="1:3" ht="30">
      <c r="A72" t="s">
        <v>844</v>
      </c>
      <c r="B72" t="s">
        <v>845</v>
      </c>
      <c r="C72" s="1" t="s">
        <v>851</v>
      </c>
    </row>
    <row r="73" spans="1:3" ht="150">
      <c r="A73" t="s">
        <v>855</v>
      </c>
      <c r="B73" t="s">
        <v>856</v>
      </c>
      <c r="C73" s="1" t="s">
        <v>862</v>
      </c>
    </row>
    <row r="74" spans="1:3" ht="120">
      <c r="A74" t="s">
        <v>867</v>
      </c>
      <c r="B74" t="s">
        <v>868</v>
      </c>
      <c r="C74" s="1" t="s">
        <v>352</v>
      </c>
    </row>
    <row r="75" spans="1:3" ht="75">
      <c r="A75" t="s">
        <v>876</v>
      </c>
      <c r="B75" t="s">
        <v>877</v>
      </c>
      <c r="C75" s="1" t="s">
        <v>884</v>
      </c>
    </row>
    <row r="76" spans="1:3" ht="150">
      <c r="A76" t="s">
        <v>887</v>
      </c>
      <c r="B76" t="s">
        <v>888</v>
      </c>
      <c r="C76" s="1" t="s">
        <v>894</v>
      </c>
    </row>
    <row r="77" spans="1:3" ht="30">
      <c r="A77" t="s">
        <v>899</v>
      </c>
      <c r="B77" t="s">
        <v>900</v>
      </c>
      <c r="C77" s="1" t="s">
        <v>806</v>
      </c>
    </row>
    <row r="78" spans="1:3">
      <c r="A78" t="s">
        <v>908</v>
      </c>
      <c r="B78" t="s">
        <v>909</v>
      </c>
      <c r="C78" s="1" t="s">
        <v>119</v>
      </c>
    </row>
    <row r="79" spans="1:3">
      <c r="A79" t="s">
        <v>915</v>
      </c>
      <c r="B79" t="s">
        <v>916</v>
      </c>
      <c r="C79" s="1" t="s">
        <v>119</v>
      </c>
    </row>
    <row r="80" spans="1:3" ht="30">
      <c r="A80" t="s">
        <v>924</v>
      </c>
      <c r="B80" t="s">
        <v>925</v>
      </c>
      <c r="C80" s="1" t="s">
        <v>716</v>
      </c>
    </row>
    <row r="81" spans="1:3" ht="30">
      <c r="A81" t="s">
        <v>935</v>
      </c>
      <c r="B81" t="s">
        <v>936</v>
      </c>
      <c r="C81" s="1" t="s">
        <v>829</v>
      </c>
    </row>
    <row r="82" spans="1:3">
      <c r="A82" t="s">
        <v>943</v>
      </c>
      <c r="B82" t="s">
        <v>944</v>
      </c>
      <c r="C82" s="1" t="s">
        <v>119</v>
      </c>
    </row>
    <row r="83" spans="1:3" ht="30">
      <c r="A83" t="s">
        <v>950</v>
      </c>
      <c r="B83" t="s">
        <v>951</v>
      </c>
      <c r="C83" s="1" t="s">
        <v>829</v>
      </c>
    </row>
    <row r="84" spans="1:3" ht="30">
      <c r="A84" t="s">
        <v>958</v>
      </c>
      <c r="B84" t="s">
        <v>959</v>
      </c>
      <c r="C84" s="1" t="s">
        <v>962</v>
      </c>
    </row>
    <row r="85" spans="1:3">
      <c r="A85" t="s">
        <v>964</v>
      </c>
      <c r="B85" t="s">
        <v>965</v>
      </c>
      <c r="C85" s="1" t="s">
        <v>142</v>
      </c>
    </row>
    <row r="86" spans="1:3">
      <c r="A86" t="s">
        <v>971</v>
      </c>
      <c r="B86" t="s">
        <v>972</v>
      </c>
      <c r="C86" s="1" t="s">
        <v>119</v>
      </c>
    </row>
    <row r="87" spans="1:3">
      <c r="A87" t="s">
        <v>982</v>
      </c>
      <c r="B87" t="s">
        <v>983</v>
      </c>
      <c r="C87" s="1" t="s">
        <v>119</v>
      </c>
    </row>
    <row r="88" spans="1:3">
      <c r="A88" t="s">
        <v>991</v>
      </c>
      <c r="B88" t="s">
        <v>992</v>
      </c>
      <c r="C88" s="1" t="s">
        <v>119</v>
      </c>
    </row>
    <row r="89" spans="1:3">
      <c r="A89" t="s">
        <v>1002</v>
      </c>
      <c r="B89" t="s">
        <v>1003</v>
      </c>
      <c r="C89" s="1" t="s">
        <v>119</v>
      </c>
    </row>
    <row r="90" spans="1:3" ht="30">
      <c r="A90" t="s">
        <v>1009</v>
      </c>
      <c r="B90" t="s">
        <v>1010</v>
      </c>
      <c r="C90" s="1" t="s">
        <v>829</v>
      </c>
    </row>
    <row r="91" spans="1:3" ht="195">
      <c r="A91" t="s">
        <v>1018</v>
      </c>
      <c r="B91" t="s">
        <v>1019</v>
      </c>
      <c r="C91" s="1" t="s">
        <v>1025</v>
      </c>
    </row>
    <row r="92" spans="1:3">
      <c r="A92" t="s">
        <v>1030</v>
      </c>
      <c r="B92" t="s">
        <v>1031</v>
      </c>
      <c r="C92" s="1" t="s">
        <v>119</v>
      </c>
    </row>
    <row r="93" spans="1:3">
      <c r="A93" t="s">
        <v>1037</v>
      </c>
      <c r="B93" t="s">
        <v>1038</v>
      </c>
      <c r="C93" s="1" t="s">
        <v>119</v>
      </c>
    </row>
    <row r="94" spans="1:3" ht="60">
      <c r="A94" t="s">
        <v>1047</v>
      </c>
      <c r="B94" t="s">
        <v>1048</v>
      </c>
      <c r="C94" s="1" t="s">
        <v>1054</v>
      </c>
    </row>
    <row r="95" spans="1:3">
      <c r="A95" t="s">
        <v>1058</v>
      </c>
      <c r="B95" t="s">
        <v>1059</v>
      </c>
      <c r="C95" s="1" t="s">
        <v>119</v>
      </c>
    </row>
    <row r="96" spans="1:3">
      <c r="A96" t="s">
        <v>1067</v>
      </c>
      <c r="B96" t="s">
        <v>1068</v>
      </c>
      <c r="C96" s="1" t="s">
        <v>119</v>
      </c>
    </row>
    <row r="97" spans="1:3">
      <c r="A97" t="s">
        <v>1072</v>
      </c>
      <c r="B97" t="s">
        <v>1073</v>
      </c>
      <c r="C97" s="1" t="s">
        <v>119</v>
      </c>
    </row>
    <row r="98" spans="1:3">
      <c r="A98" t="s">
        <v>1080</v>
      </c>
      <c r="B98" t="s">
        <v>1081</v>
      </c>
      <c r="C98" s="1" t="s">
        <v>119</v>
      </c>
    </row>
    <row r="99" spans="1:3" ht="60">
      <c r="A99" t="s">
        <v>1084</v>
      </c>
      <c r="B99" t="s">
        <v>1085</v>
      </c>
      <c r="C99" s="1" t="s">
        <v>296</v>
      </c>
    </row>
    <row r="100" spans="1:3" ht="30">
      <c r="A100" t="s">
        <v>1093</v>
      </c>
      <c r="B100" t="s">
        <v>1094</v>
      </c>
      <c r="C100" s="1" t="s">
        <v>829</v>
      </c>
    </row>
    <row r="101" spans="1:3">
      <c r="A101" t="s">
        <v>1100</v>
      </c>
      <c r="B101" t="s">
        <v>1101</v>
      </c>
      <c r="C101" s="1" t="s">
        <v>119</v>
      </c>
    </row>
    <row r="102" spans="1:3">
      <c r="A102" t="s">
        <v>1107</v>
      </c>
      <c r="B102" t="s">
        <v>1108</v>
      </c>
      <c r="C102" s="1" t="s">
        <v>119</v>
      </c>
    </row>
    <row r="103" spans="1:3" ht="60">
      <c r="A103" t="s">
        <v>1114</v>
      </c>
      <c r="B103" t="s">
        <v>1115</v>
      </c>
      <c r="C103" s="1" t="s">
        <v>1120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0A59E-C669-4E75-9656-BBA8EDFCF38E}">
  <dimension ref="A1:M103"/>
  <sheetViews>
    <sheetView workbookViewId="0">
      <pane xSplit="3" ySplit="1" topLeftCell="H15" activePane="bottomRight" state="frozen"/>
      <selection pane="bottomRight" activeCell="B18" sqref="B18"/>
      <selection pane="bottomLeft" activeCell="B2" sqref="B2"/>
      <selection pane="topRight" activeCell="B2" sqref="B2"/>
    </sheetView>
  </sheetViews>
  <sheetFormatPr defaultRowHeight="15"/>
  <cols>
    <col min="2" max="2" width="52" customWidth="1"/>
    <col min="3" max="3" width="108.140625" style="1" customWidth="1"/>
    <col min="4" max="4" width="28.7109375" style="8" bestFit="1" customWidth="1"/>
    <col min="5" max="5" width="7.28515625" style="8" bestFit="1" customWidth="1"/>
    <col min="6" max="6" width="34.7109375" style="8" bestFit="1" customWidth="1"/>
    <col min="7" max="7" width="8.7109375" style="8" bestFit="1" customWidth="1"/>
    <col min="8" max="8" width="20.85546875" style="8" bestFit="1" customWidth="1"/>
    <col min="9" max="9" width="8.28515625" style="8" bestFit="1" customWidth="1"/>
    <col min="10" max="10" width="20" style="8" bestFit="1" customWidth="1"/>
    <col min="11" max="11" width="20.7109375" style="8" bestFit="1" customWidth="1"/>
    <col min="12" max="12" width="11.85546875" style="8" bestFit="1" customWidth="1"/>
    <col min="13" max="13" width="12.85546875" style="8" bestFit="1" customWidth="1"/>
  </cols>
  <sheetData>
    <row r="1" spans="1:13">
      <c r="A1" s="2" t="s">
        <v>0</v>
      </c>
      <c r="B1" s="2" t="s">
        <v>1</v>
      </c>
      <c r="C1" s="5" t="s">
        <v>1139</v>
      </c>
      <c r="D1" s="9" t="s">
        <v>1140</v>
      </c>
      <c r="E1" s="9" t="s">
        <v>1141</v>
      </c>
      <c r="F1" s="9" t="s">
        <v>1142</v>
      </c>
      <c r="G1" s="9" t="s">
        <v>1143</v>
      </c>
      <c r="H1" s="9" t="s">
        <v>1144</v>
      </c>
      <c r="I1" s="9" t="s">
        <v>1145</v>
      </c>
      <c r="J1" s="9" t="s">
        <v>1146</v>
      </c>
      <c r="K1" s="9" t="s">
        <v>1147</v>
      </c>
      <c r="L1" s="9" t="s">
        <v>1148</v>
      </c>
      <c r="M1" s="9" t="s">
        <v>1149</v>
      </c>
    </row>
    <row r="2" spans="1:13" ht="60">
      <c r="A2" t="s">
        <v>57</v>
      </c>
      <c r="B2" t="s">
        <v>58</v>
      </c>
      <c r="C2" s="1" t="s">
        <v>67</v>
      </c>
      <c r="D2" s="8" t="s">
        <v>1150</v>
      </c>
      <c r="F2" s="8" t="s">
        <v>1150</v>
      </c>
      <c r="J2" s="8" t="s">
        <v>1150</v>
      </c>
    </row>
    <row r="3" spans="1:13" ht="60">
      <c r="A3" t="s">
        <v>73</v>
      </c>
      <c r="B3" t="s">
        <v>74</v>
      </c>
      <c r="C3" s="1" t="s">
        <v>81</v>
      </c>
      <c r="D3" s="8" t="s">
        <v>1150</v>
      </c>
      <c r="F3" s="8" t="s">
        <v>1150</v>
      </c>
      <c r="G3" s="8" t="s">
        <v>1150</v>
      </c>
    </row>
    <row r="4" spans="1:13" ht="60">
      <c r="A4" t="s">
        <v>85</v>
      </c>
      <c r="B4" t="s">
        <v>86</v>
      </c>
      <c r="C4" s="1" t="s">
        <v>94</v>
      </c>
      <c r="D4" s="8" t="s">
        <v>1150</v>
      </c>
      <c r="F4" s="8" t="s">
        <v>1150</v>
      </c>
      <c r="J4" s="8" t="s">
        <v>1150</v>
      </c>
    </row>
    <row r="5" spans="1:13" ht="30">
      <c r="A5" t="s">
        <v>99</v>
      </c>
      <c r="B5" t="s">
        <v>100</v>
      </c>
      <c r="C5" s="1" t="s">
        <v>108</v>
      </c>
      <c r="H5" s="8" t="s">
        <v>1150</v>
      </c>
    </row>
    <row r="6" spans="1:13" ht="75">
      <c r="A6" t="s">
        <v>112</v>
      </c>
      <c r="B6" t="s">
        <v>113</v>
      </c>
      <c r="C6" s="1" t="s">
        <v>120</v>
      </c>
      <c r="D6" s="8" t="s">
        <v>1150</v>
      </c>
      <c r="E6" s="8" t="s">
        <v>1150</v>
      </c>
      <c r="I6" s="8" t="s">
        <v>1150</v>
      </c>
    </row>
    <row r="7" spans="1:13" ht="60">
      <c r="A7" t="s">
        <v>124</v>
      </c>
      <c r="B7" t="s">
        <v>125</v>
      </c>
      <c r="C7" s="1" t="s">
        <v>67</v>
      </c>
      <c r="D7" s="8" t="s">
        <v>1150</v>
      </c>
      <c r="F7" s="8" t="s">
        <v>1150</v>
      </c>
      <c r="J7" s="8" t="s">
        <v>1150</v>
      </c>
    </row>
    <row r="8" spans="1:13" ht="60">
      <c r="A8" t="s">
        <v>135</v>
      </c>
      <c r="B8" t="s">
        <v>136</v>
      </c>
      <c r="C8" s="1" t="s">
        <v>143</v>
      </c>
      <c r="D8" s="8" t="s">
        <v>1150</v>
      </c>
      <c r="F8" s="8" t="s">
        <v>1150</v>
      </c>
      <c r="J8" s="8" t="s">
        <v>1150</v>
      </c>
      <c r="K8" s="8" t="s">
        <v>1150</v>
      </c>
    </row>
    <row r="9" spans="1:13" ht="60">
      <c r="A9" t="s">
        <v>147</v>
      </c>
      <c r="B9" t="s">
        <v>148</v>
      </c>
      <c r="C9" s="1" t="s">
        <v>67</v>
      </c>
      <c r="D9" s="8" t="s">
        <v>1150</v>
      </c>
      <c r="F9" s="8" t="s">
        <v>1150</v>
      </c>
      <c r="J9" s="8" t="s">
        <v>1150</v>
      </c>
    </row>
    <row r="10" spans="1:13" ht="60">
      <c r="A10" t="s">
        <v>161</v>
      </c>
      <c r="B10" t="s">
        <v>162</v>
      </c>
      <c r="C10" s="1" t="s">
        <v>81</v>
      </c>
      <c r="D10" s="8" t="s">
        <v>1150</v>
      </c>
      <c r="F10" s="8" t="s">
        <v>1150</v>
      </c>
      <c r="G10" s="8" t="s">
        <v>1150</v>
      </c>
    </row>
    <row r="11" spans="1:13" ht="60">
      <c r="A11" t="s">
        <v>172</v>
      </c>
      <c r="B11" t="s">
        <v>173</v>
      </c>
      <c r="C11" s="1" t="s">
        <v>81</v>
      </c>
      <c r="D11" s="8" t="s">
        <v>1150</v>
      </c>
      <c r="F11" s="8" t="s">
        <v>1150</v>
      </c>
      <c r="G11" s="8" t="s">
        <v>1150</v>
      </c>
    </row>
    <row r="12" spans="1:13" ht="75">
      <c r="A12" t="s">
        <v>183</v>
      </c>
      <c r="B12" t="s">
        <v>184</v>
      </c>
      <c r="C12" s="1" t="s">
        <v>191</v>
      </c>
      <c r="E12" s="8" t="s">
        <v>1150</v>
      </c>
      <c r="F12" s="8" t="s">
        <v>1150</v>
      </c>
      <c r="J12" s="8" t="s">
        <v>1150</v>
      </c>
    </row>
    <row r="13" spans="1:13" ht="30">
      <c r="A13" t="s">
        <v>195</v>
      </c>
      <c r="B13" t="s">
        <v>196</v>
      </c>
      <c r="C13" s="1" t="s">
        <v>203</v>
      </c>
    </row>
    <row r="14" spans="1:13" ht="60">
      <c r="A14" t="s">
        <v>207</v>
      </c>
      <c r="B14" t="s">
        <v>208</v>
      </c>
      <c r="C14" s="1" t="s">
        <v>81</v>
      </c>
      <c r="D14" s="8" t="s">
        <v>1150</v>
      </c>
      <c r="F14" s="8" t="s">
        <v>1150</v>
      </c>
      <c r="G14" s="8" t="s">
        <v>1150</v>
      </c>
    </row>
    <row r="15" spans="1:13" ht="30">
      <c r="A15" t="s">
        <v>218</v>
      </c>
      <c r="B15" t="s">
        <v>219</v>
      </c>
      <c r="C15" s="1" t="s">
        <v>225</v>
      </c>
    </row>
    <row r="16" spans="1:13" ht="60">
      <c r="A16" t="s">
        <v>228</v>
      </c>
      <c r="B16" t="s">
        <v>229</v>
      </c>
      <c r="C16" s="1" t="s">
        <v>67</v>
      </c>
      <c r="D16" s="8" t="s">
        <v>1150</v>
      </c>
      <c r="F16" s="8" t="s">
        <v>1150</v>
      </c>
      <c r="J16" s="8" t="s">
        <v>1150</v>
      </c>
    </row>
    <row r="17" spans="1:13" ht="60">
      <c r="A17" t="s">
        <v>241</v>
      </c>
      <c r="B17" t="s">
        <v>242</v>
      </c>
      <c r="C17" s="1" t="s">
        <v>248</v>
      </c>
      <c r="E17" s="8" t="s">
        <v>1150</v>
      </c>
      <c r="F17" s="8" t="s">
        <v>1150</v>
      </c>
      <c r="J17" s="8" t="s">
        <v>1150</v>
      </c>
    </row>
    <row r="18" spans="1:13" ht="60">
      <c r="A18" t="s">
        <v>253</v>
      </c>
      <c r="B18" t="s">
        <v>254</v>
      </c>
      <c r="C18" s="1" t="s">
        <v>67</v>
      </c>
      <c r="D18" s="8" t="s">
        <v>1150</v>
      </c>
      <c r="F18" s="8" t="s">
        <v>1150</v>
      </c>
      <c r="J18" s="8" t="s">
        <v>1150</v>
      </c>
    </row>
    <row r="19" spans="1:13" ht="60">
      <c r="A19" t="s">
        <v>264</v>
      </c>
      <c r="B19" t="s">
        <v>265</v>
      </c>
      <c r="C19" s="1" t="s">
        <v>272</v>
      </c>
      <c r="D19" s="8" t="s">
        <v>1150</v>
      </c>
      <c r="F19" s="8" t="s">
        <v>1150</v>
      </c>
      <c r="G19" s="8" t="s">
        <v>1150</v>
      </c>
      <c r="J19" s="8" t="s">
        <v>1150</v>
      </c>
    </row>
    <row r="20" spans="1:13" ht="60">
      <c r="A20" t="s">
        <v>276</v>
      </c>
      <c r="B20" t="s">
        <v>277</v>
      </c>
      <c r="C20" s="1" t="s">
        <v>67</v>
      </c>
      <c r="D20" s="8" t="s">
        <v>1150</v>
      </c>
      <c r="F20" s="8" t="s">
        <v>1150</v>
      </c>
      <c r="J20" s="8" t="s">
        <v>1150</v>
      </c>
    </row>
    <row r="21" spans="1:13" ht="30">
      <c r="A21" t="s">
        <v>287</v>
      </c>
      <c r="B21" t="s">
        <v>288</v>
      </c>
      <c r="C21" s="1" t="s">
        <v>297</v>
      </c>
      <c r="M21" s="8" t="s">
        <v>1150</v>
      </c>
    </row>
    <row r="22" spans="1:13" ht="60">
      <c r="A22" t="s">
        <v>302</v>
      </c>
      <c r="B22" t="s">
        <v>303</v>
      </c>
      <c r="C22" s="1" t="s">
        <v>94</v>
      </c>
      <c r="D22" s="8" t="s">
        <v>1150</v>
      </c>
      <c r="F22" s="8" t="s">
        <v>1150</v>
      </c>
      <c r="J22" s="8" t="s">
        <v>1150</v>
      </c>
    </row>
    <row r="23" spans="1:13" ht="60">
      <c r="A23" t="s">
        <v>313</v>
      </c>
      <c r="B23" t="s">
        <v>314</v>
      </c>
      <c r="C23" s="1" t="s">
        <v>94</v>
      </c>
      <c r="D23" s="8" t="s">
        <v>1150</v>
      </c>
      <c r="F23" s="8" t="s">
        <v>1150</v>
      </c>
      <c r="J23" s="8" t="s">
        <v>1150</v>
      </c>
    </row>
    <row r="24" spans="1:13" ht="60">
      <c r="A24" t="s">
        <v>323</v>
      </c>
      <c r="B24" t="s">
        <v>324</v>
      </c>
      <c r="C24" s="1" t="s">
        <v>67</v>
      </c>
      <c r="D24" s="8" t="s">
        <v>1150</v>
      </c>
      <c r="F24" s="8" t="s">
        <v>1150</v>
      </c>
      <c r="J24" s="8" t="s">
        <v>1150</v>
      </c>
    </row>
    <row r="25" spans="1:13" ht="60">
      <c r="A25" t="s">
        <v>334</v>
      </c>
      <c r="B25" t="s">
        <v>335</v>
      </c>
      <c r="C25" s="1" t="s">
        <v>67</v>
      </c>
      <c r="D25" s="8" t="s">
        <v>1150</v>
      </c>
      <c r="F25" s="8" t="s">
        <v>1150</v>
      </c>
      <c r="J25" s="8" t="s">
        <v>1150</v>
      </c>
    </row>
    <row r="26" spans="1:13" ht="60">
      <c r="A26" t="s">
        <v>345</v>
      </c>
      <c r="B26" t="s">
        <v>346</v>
      </c>
      <c r="C26" s="1" t="s">
        <v>353</v>
      </c>
      <c r="E26" s="8" t="s">
        <v>1150</v>
      </c>
    </row>
    <row r="27" spans="1:13" ht="60">
      <c r="A27" t="s">
        <v>357</v>
      </c>
      <c r="B27" t="s">
        <v>358</v>
      </c>
      <c r="C27" s="1" t="s">
        <v>94</v>
      </c>
      <c r="D27" s="8" t="s">
        <v>1150</v>
      </c>
      <c r="F27" s="8" t="s">
        <v>1150</v>
      </c>
      <c r="J27" s="8" t="s">
        <v>1150</v>
      </c>
    </row>
    <row r="28" spans="1:13" ht="60">
      <c r="A28" t="s">
        <v>368</v>
      </c>
      <c r="B28" t="s">
        <v>369</v>
      </c>
      <c r="C28" s="1" t="s">
        <v>81</v>
      </c>
      <c r="D28" s="8" t="s">
        <v>1150</v>
      </c>
      <c r="F28" s="8" t="s">
        <v>1150</v>
      </c>
      <c r="G28" s="8" t="s">
        <v>1150</v>
      </c>
    </row>
    <row r="29" spans="1:13" ht="60">
      <c r="A29" t="s">
        <v>379</v>
      </c>
      <c r="B29" t="s">
        <v>380</v>
      </c>
      <c r="C29" s="1" t="s">
        <v>143</v>
      </c>
      <c r="D29" s="8" t="s">
        <v>1150</v>
      </c>
      <c r="F29" s="8" t="s">
        <v>1150</v>
      </c>
      <c r="J29" s="8" t="s">
        <v>1150</v>
      </c>
      <c r="K29" s="8" t="s">
        <v>1150</v>
      </c>
    </row>
    <row r="30" spans="1:13" ht="60">
      <c r="A30" t="s">
        <v>387</v>
      </c>
      <c r="B30" t="s">
        <v>388</v>
      </c>
      <c r="C30" s="1" t="s">
        <v>94</v>
      </c>
      <c r="D30" s="8" t="s">
        <v>1150</v>
      </c>
      <c r="F30" s="8" t="s">
        <v>1150</v>
      </c>
      <c r="J30" s="8" t="s">
        <v>1150</v>
      </c>
    </row>
    <row r="31" spans="1:13" ht="45">
      <c r="A31" t="s">
        <v>396</v>
      </c>
      <c r="B31" t="s">
        <v>397</v>
      </c>
      <c r="C31" s="1" t="s">
        <v>404</v>
      </c>
      <c r="L31" s="8" t="s">
        <v>1150</v>
      </c>
    </row>
    <row r="32" spans="1:13" ht="30">
      <c r="A32" t="s">
        <v>409</v>
      </c>
      <c r="B32" t="s">
        <v>410</v>
      </c>
      <c r="C32" s="1" t="s">
        <v>417</v>
      </c>
      <c r="L32" s="8" t="s">
        <v>1150</v>
      </c>
    </row>
    <row r="33" spans="1:11" ht="60">
      <c r="A33" t="s">
        <v>421</v>
      </c>
      <c r="B33" t="s">
        <v>422</v>
      </c>
      <c r="C33" s="1" t="s">
        <v>428</v>
      </c>
      <c r="D33" s="8" t="s">
        <v>1150</v>
      </c>
      <c r="F33" s="8" t="s">
        <v>1150</v>
      </c>
      <c r="K33" s="8" t="s">
        <v>1150</v>
      </c>
    </row>
    <row r="34" spans="1:11">
      <c r="A34" t="s">
        <v>431</v>
      </c>
      <c r="B34" t="s">
        <v>432</v>
      </c>
      <c r="C34" s="1" t="s">
        <v>438</v>
      </c>
    </row>
    <row r="35" spans="1:11" ht="60">
      <c r="A35" t="s">
        <v>442</v>
      </c>
      <c r="B35" t="s">
        <v>443</v>
      </c>
      <c r="C35" s="1" t="s">
        <v>67</v>
      </c>
      <c r="D35" s="8" t="s">
        <v>1150</v>
      </c>
      <c r="F35" s="8" t="s">
        <v>1150</v>
      </c>
      <c r="J35" s="8" t="s">
        <v>1150</v>
      </c>
    </row>
    <row r="36" spans="1:11" ht="60">
      <c r="A36" t="s">
        <v>453</v>
      </c>
      <c r="B36" t="s">
        <v>454</v>
      </c>
      <c r="C36" s="1" t="s">
        <v>460</v>
      </c>
      <c r="D36" s="8" t="s">
        <v>1150</v>
      </c>
      <c r="F36" s="8" t="s">
        <v>1150</v>
      </c>
      <c r="K36" s="8" t="s">
        <v>1150</v>
      </c>
    </row>
    <row r="37" spans="1:11" ht="75">
      <c r="A37" t="s">
        <v>464</v>
      </c>
      <c r="B37" t="s">
        <v>465</v>
      </c>
      <c r="C37" s="1" t="s">
        <v>472</v>
      </c>
      <c r="D37" s="8" t="s">
        <v>1150</v>
      </c>
      <c r="F37" s="8" t="s">
        <v>1150</v>
      </c>
      <c r="J37" s="8" t="s">
        <v>1150</v>
      </c>
    </row>
    <row r="38" spans="1:11">
      <c r="A38" t="s">
        <v>476</v>
      </c>
      <c r="B38" t="s">
        <v>477</v>
      </c>
      <c r="C38" s="1" t="s">
        <v>438</v>
      </c>
    </row>
    <row r="39" spans="1:11" ht="60">
      <c r="A39" t="s">
        <v>483</v>
      </c>
      <c r="B39" t="s">
        <v>484</v>
      </c>
      <c r="C39" s="1" t="s">
        <v>81</v>
      </c>
      <c r="D39" s="8" t="s">
        <v>1150</v>
      </c>
      <c r="F39" s="8" t="s">
        <v>1150</v>
      </c>
      <c r="G39" s="8" t="s">
        <v>1150</v>
      </c>
    </row>
    <row r="40" spans="1:11" ht="60">
      <c r="A40" t="s">
        <v>494</v>
      </c>
      <c r="B40" t="s">
        <v>495</v>
      </c>
      <c r="C40" s="1" t="s">
        <v>502</v>
      </c>
      <c r="E40" s="8" t="s">
        <v>1150</v>
      </c>
      <c r="F40" s="8" t="s">
        <v>1150</v>
      </c>
      <c r="J40" s="8" t="s">
        <v>1150</v>
      </c>
    </row>
    <row r="41" spans="1:11" ht="60">
      <c r="A41" t="s">
        <v>507</v>
      </c>
      <c r="B41" t="s">
        <v>508</v>
      </c>
      <c r="C41" s="1" t="s">
        <v>143</v>
      </c>
      <c r="D41" s="8" t="s">
        <v>1150</v>
      </c>
      <c r="F41" s="8" t="s">
        <v>1150</v>
      </c>
      <c r="J41" s="8" t="s">
        <v>1150</v>
      </c>
      <c r="K41" s="8" t="s">
        <v>1150</v>
      </c>
    </row>
    <row r="42" spans="1:11" ht="60">
      <c r="A42" t="s">
        <v>517</v>
      </c>
      <c r="B42" t="s">
        <v>518</v>
      </c>
      <c r="C42" s="1" t="s">
        <v>67</v>
      </c>
      <c r="D42" s="8" t="s">
        <v>1150</v>
      </c>
      <c r="F42" s="8" t="s">
        <v>1150</v>
      </c>
      <c r="J42" s="8" t="s">
        <v>1150</v>
      </c>
    </row>
    <row r="43" spans="1:11" ht="60">
      <c r="A43" t="s">
        <v>526</v>
      </c>
      <c r="B43" t="s">
        <v>527</v>
      </c>
      <c r="C43" s="1" t="s">
        <v>67</v>
      </c>
      <c r="D43" s="8" t="s">
        <v>1150</v>
      </c>
      <c r="F43" s="8" t="s">
        <v>1150</v>
      </c>
      <c r="J43" s="8" t="s">
        <v>1150</v>
      </c>
    </row>
    <row r="44" spans="1:11">
      <c r="A44" t="s">
        <v>535</v>
      </c>
      <c r="B44" t="s">
        <v>536</v>
      </c>
      <c r="C44" s="1" t="s">
        <v>544</v>
      </c>
      <c r="F44" s="8" t="s">
        <v>1150</v>
      </c>
    </row>
    <row r="45" spans="1:11" ht="60">
      <c r="A45" t="s">
        <v>548</v>
      </c>
      <c r="B45" t="s">
        <v>549</v>
      </c>
      <c r="C45" s="1" t="s">
        <v>556</v>
      </c>
      <c r="D45" s="8" t="s">
        <v>1150</v>
      </c>
      <c r="F45" s="8" t="s">
        <v>1150</v>
      </c>
      <c r="J45" s="8" t="s">
        <v>1150</v>
      </c>
    </row>
    <row r="46" spans="1:11" ht="75">
      <c r="A46" t="s">
        <v>559</v>
      </c>
      <c r="B46" t="s">
        <v>560</v>
      </c>
      <c r="C46" s="1" t="s">
        <v>472</v>
      </c>
      <c r="D46" s="8" t="s">
        <v>1150</v>
      </c>
      <c r="F46" s="8" t="s">
        <v>1150</v>
      </c>
      <c r="J46" s="8" t="s">
        <v>1150</v>
      </c>
    </row>
    <row r="47" spans="1:11" ht="45">
      <c r="A47" t="s">
        <v>570</v>
      </c>
      <c r="B47" t="s">
        <v>571</v>
      </c>
      <c r="C47" s="1" t="s">
        <v>578</v>
      </c>
      <c r="K47" s="8" t="s">
        <v>1150</v>
      </c>
    </row>
    <row r="48" spans="1:11" ht="60">
      <c r="A48" t="s">
        <v>581</v>
      </c>
      <c r="B48" t="s">
        <v>582</v>
      </c>
      <c r="C48" s="1" t="s">
        <v>67</v>
      </c>
      <c r="D48" s="8" t="s">
        <v>1150</v>
      </c>
      <c r="F48" s="8" t="s">
        <v>1150</v>
      </c>
      <c r="J48" s="8" t="s">
        <v>1150</v>
      </c>
    </row>
    <row r="49" spans="1:11" ht="75">
      <c r="A49" t="s">
        <v>591</v>
      </c>
      <c r="B49" t="s">
        <v>592</v>
      </c>
      <c r="C49" s="1" t="s">
        <v>472</v>
      </c>
      <c r="D49" s="8" t="s">
        <v>1150</v>
      </c>
      <c r="F49" s="8" t="s">
        <v>1150</v>
      </c>
      <c r="J49" s="8" t="s">
        <v>1150</v>
      </c>
    </row>
    <row r="50" spans="1:11" ht="60">
      <c r="A50" t="s">
        <v>602</v>
      </c>
      <c r="B50" t="s">
        <v>603</v>
      </c>
      <c r="C50" s="1" t="s">
        <v>609</v>
      </c>
      <c r="D50" s="8" t="s">
        <v>1150</v>
      </c>
      <c r="F50" s="8" t="s">
        <v>1150</v>
      </c>
      <c r="J50" s="8" t="s">
        <v>1150</v>
      </c>
      <c r="K50" s="8" t="s">
        <v>1150</v>
      </c>
    </row>
    <row r="51" spans="1:11">
      <c r="A51" t="s">
        <v>611</v>
      </c>
      <c r="B51" t="s">
        <v>612</v>
      </c>
      <c r="C51" s="1" t="s">
        <v>544</v>
      </c>
      <c r="F51" s="8" t="s">
        <v>1150</v>
      </c>
    </row>
    <row r="52" spans="1:11" ht="45">
      <c r="A52" t="s">
        <v>623</v>
      </c>
      <c r="B52" t="s">
        <v>624</v>
      </c>
      <c r="C52" s="1" t="s">
        <v>628</v>
      </c>
      <c r="K52" s="8" t="s">
        <v>1150</v>
      </c>
    </row>
    <row r="53" spans="1:11" ht="105">
      <c r="A53" t="s">
        <v>631</v>
      </c>
      <c r="B53" t="s">
        <v>632</v>
      </c>
      <c r="C53" s="1" t="s">
        <v>638</v>
      </c>
      <c r="D53" s="8" t="s">
        <v>1150</v>
      </c>
      <c r="F53" s="8" t="s">
        <v>1150</v>
      </c>
      <c r="G53" s="8" t="s">
        <v>1150</v>
      </c>
      <c r="J53" s="8" t="s">
        <v>1150</v>
      </c>
      <c r="K53" s="8" t="s">
        <v>1150</v>
      </c>
    </row>
    <row r="54" spans="1:11" ht="75">
      <c r="A54" t="s">
        <v>642</v>
      </c>
      <c r="B54" t="s">
        <v>643</v>
      </c>
      <c r="C54" s="1" t="s">
        <v>650</v>
      </c>
      <c r="D54" s="8" t="s">
        <v>1150</v>
      </c>
      <c r="F54" s="8" t="s">
        <v>1150</v>
      </c>
      <c r="J54" s="8" t="s">
        <v>1150</v>
      </c>
    </row>
    <row r="55" spans="1:11" ht="75">
      <c r="A55" t="s">
        <v>654</v>
      </c>
      <c r="B55" t="s">
        <v>655</v>
      </c>
      <c r="C55" s="1" t="s">
        <v>662</v>
      </c>
      <c r="D55" s="8" t="s">
        <v>1150</v>
      </c>
      <c r="F55" s="8" t="s">
        <v>1150</v>
      </c>
    </row>
    <row r="56" spans="1:11" ht="60">
      <c r="A56" t="s">
        <v>666</v>
      </c>
      <c r="B56" t="s">
        <v>667</v>
      </c>
      <c r="C56" s="1" t="s">
        <v>67</v>
      </c>
      <c r="D56" s="8" t="s">
        <v>1150</v>
      </c>
      <c r="F56" s="8" t="s">
        <v>1150</v>
      </c>
      <c r="J56" s="8" t="s">
        <v>1150</v>
      </c>
    </row>
    <row r="57" spans="1:11" ht="60">
      <c r="A57" t="s">
        <v>678</v>
      </c>
      <c r="B57" t="s">
        <v>679</v>
      </c>
      <c r="C57" s="1" t="s">
        <v>272</v>
      </c>
      <c r="D57" s="8" t="s">
        <v>1150</v>
      </c>
      <c r="F57" s="8" t="s">
        <v>1150</v>
      </c>
      <c r="G57" s="8" t="s">
        <v>1150</v>
      </c>
      <c r="J57" s="8" t="s">
        <v>1150</v>
      </c>
    </row>
    <row r="58" spans="1:11" ht="75">
      <c r="A58" t="s">
        <v>686</v>
      </c>
      <c r="B58" t="s">
        <v>687</v>
      </c>
      <c r="C58" s="1" t="s">
        <v>650</v>
      </c>
      <c r="D58" s="8" t="s">
        <v>1150</v>
      </c>
      <c r="F58" s="8" t="s">
        <v>1150</v>
      </c>
      <c r="J58" s="8" t="s">
        <v>1150</v>
      </c>
    </row>
    <row r="59" spans="1:11" ht="60">
      <c r="A59" t="s">
        <v>698</v>
      </c>
      <c r="B59" t="s">
        <v>699</v>
      </c>
      <c r="C59" s="1" t="s">
        <v>67</v>
      </c>
      <c r="D59" s="8" t="s">
        <v>1150</v>
      </c>
      <c r="F59" s="8" t="s">
        <v>1150</v>
      </c>
      <c r="J59" s="8" t="s">
        <v>1150</v>
      </c>
    </row>
    <row r="60" spans="1:11" ht="60">
      <c r="A60" t="s">
        <v>709</v>
      </c>
      <c r="B60" t="s">
        <v>710</v>
      </c>
      <c r="C60" s="1" t="s">
        <v>67</v>
      </c>
      <c r="D60" s="8" t="s">
        <v>1150</v>
      </c>
      <c r="F60" s="8" t="s">
        <v>1150</v>
      </c>
      <c r="J60" s="8" t="s">
        <v>1150</v>
      </c>
    </row>
    <row r="61" spans="1:11" ht="60">
      <c r="A61" t="s">
        <v>720</v>
      </c>
      <c r="B61" t="s">
        <v>721</v>
      </c>
      <c r="C61" s="1" t="s">
        <v>81</v>
      </c>
      <c r="D61" s="8" t="s">
        <v>1150</v>
      </c>
      <c r="F61" s="8" t="s">
        <v>1150</v>
      </c>
      <c r="G61" s="8" t="s">
        <v>1150</v>
      </c>
    </row>
    <row r="62" spans="1:11" ht="105">
      <c r="A62" t="s">
        <v>731</v>
      </c>
      <c r="B62" t="s">
        <v>732</v>
      </c>
      <c r="C62" s="1" t="s">
        <v>739</v>
      </c>
      <c r="D62" s="8" t="s">
        <v>1150</v>
      </c>
      <c r="F62" s="8" t="s">
        <v>1150</v>
      </c>
      <c r="G62" s="8" t="s">
        <v>1150</v>
      </c>
      <c r="J62" s="8" t="s">
        <v>1150</v>
      </c>
      <c r="K62" s="8" t="s">
        <v>1150</v>
      </c>
    </row>
    <row r="63" spans="1:11" ht="75">
      <c r="A63" t="s">
        <v>743</v>
      </c>
      <c r="B63" t="s">
        <v>744</v>
      </c>
      <c r="C63" s="1" t="s">
        <v>662</v>
      </c>
      <c r="D63" s="8" t="s">
        <v>1150</v>
      </c>
      <c r="F63" s="8" t="s">
        <v>1150</v>
      </c>
    </row>
    <row r="64" spans="1:11" ht="60">
      <c r="A64" t="s">
        <v>754</v>
      </c>
      <c r="B64" t="s">
        <v>755</v>
      </c>
      <c r="C64" s="1" t="s">
        <v>67</v>
      </c>
      <c r="D64" s="8" t="s">
        <v>1150</v>
      </c>
      <c r="F64" s="8" t="s">
        <v>1150</v>
      </c>
      <c r="J64" s="8" t="s">
        <v>1150</v>
      </c>
    </row>
    <row r="65" spans="1:10" ht="60">
      <c r="A65" t="s">
        <v>765</v>
      </c>
      <c r="B65" t="s">
        <v>766</v>
      </c>
      <c r="C65" s="1" t="s">
        <v>774</v>
      </c>
      <c r="D65" s="8" t="s">
        <v>1150</v>
      </c>
      <c r="F65" s="8" t="s">
        <v>1150</v>
      </c>
    </row>
    <row r="66" spans="1:10" ht="75">
      <c r="A66" t="s">
        <v>778</v>
      </c>
      <c r="B66" t="s">
        <v>779</v>
      </c>
      <c r="C66" s="1" t="s">
        <v>787</v>
      </c>
      <c r="D66" s="8" t="s">
        <v>1150</v>
      </c>
      <c r="F66" s="8" t="s">
        <v>1150</v>
      </c>
    </row>
    <row r="67" spans="1:10">
      <c r="A67" t="s">
        <v>791</v>
      </c>
      <c r="B67" t="s">
        <v>792</v>
      </c>
      <c r="C67" s="1" t="s">
        <v>438</v>
      </c>
    </row>
    <row r="68" spans="1:10" ht="75">
      <c r="A68" t="s">
        <v>799</v>
      </c>
      <c r="B68" t="s">
        <v>800</v>
      </c>
      <c r="C68" s="1" t="s">
        <v>807</v>
      </c>
      <c r="D68" s="8" t="s">
        <v>1150</v>
      </c>
      <c r="F68" s="8" t="s">
        <v>1150</v>
      </c>
    </row>
    <row r="69" spans="1:10" ht="45">
      <c r="A69" t="s">
        <v>811</v>
      </c>
      <c r="B69" t="s">
        <v>812</v>
      </c>
      <c r="C69" s="1" t="s">
        <v>818</v>
      </c>
    </row>
    <row r="70" spans="1:10" ht="60">
      <c r="A70" t="s">
        <v>821</v>
      </c>
      <c r="B70" t="s">
        <v>822</v>
      </c>
      <c r="C70" s="1" t="s">
        <v>830</v>
      </c>
    </row>
    <row r="71" spans="1:10" ht="30">
      <c r="A71" t="s">
        <v>833</v>
      </c>
      <c r="B71" t="s">
        <v>834</v>
      </c>
      <c r="C71" s="1" t="s">
        <v>840</v>
      </c>
    </row>
    <row r="72" spans="1:10" ht="60">
      <c r="A72" t="s">
        <v>844</v>
      </c>
      <c r="B72" t="s">
        <v>845</v>
      </c>
      <c r="C72" s="1" t="s">
        <v>67</v>
      </c>
      <c r="D72" s="8" t="s">
        <v>1150</v>
      </c>
      <c r="F72" s="8" t="s">
        <v>1150</v>
      </c>
      <c r="J72" s="8" t="s">
        <v>1150</v>
      </c>
    </row>
    <row r="73" spans="1:10" ht="75">
      <c r="A73" t="s">
        <v>855</v>
      </c>
      <c r="B73" t="s">
        <v>856</v>
      </c>
      <c r="C73" s="1" t="s">
        <v>863</v>
      </c>
      <c r="E73" s="8" t="s">
        <v>1150</v>
      </c>
    </row>
    <row r="74" spans="1:10" ht="60">
      <c r="A74" t="s">
        <v>867</v>
      </c>
      <c r="B74" t="s">
        <v>868</v>
      </c>
      <c r="C74" s="1" t="s">
        <v>353</v>
      </c>
      <c r="E74" s="8" t="s">
        <v>1150</v>
      </c>
    </row>
    <row r="75" spans="1:10" ht="60">
      <c r="A75" t="s">
        <v>876</v>
      </c>
      <c r="B75" t="s">
        <v>877</v>
      </c>
      <c r="C75" s="1" t="s">
        <v>94</v>
      </c>
      <c r="D75" s="8" t="s">
        <v>1150</v>
      </c>
      <c r="F75" s="8" t="s">
        <v>1150</v>
      </c>
      <c r="J75" s="8" t="s">
        <v>1150</v>
      </c>
    </row>
    <row r="76" spans="1:10" ht="45">
      <c r="A76" t="s">
        <v>887</v>
      </c>
      <c r="B76" t="s">
        <v>888</v>
      </c>
      <c r="C76" s="1" t="s">
        <v>895</v>
      </c>
    </row>
    <row r="77" spans="1:10" ht="60">
      <c r="A77" t="s">
        <v>899</v>
      </c>
      <c r="B77" t="s">
        <v>900</v>
      </c>
      <c r="C77" s="1" t="s">
        <v>67</v>
      </c>
      <c r="D77" s="8" t="s">
        <v>1150</v>
      </c>
      <c r="F77" s="8" t="s">
        <v>1150</v>
      </c>
      <c r="J77" s="8" t="s">
        <v>1150</v>
      </c>
    </row>
    <row r="78" spans="1:10" ht="45">
      <c r="A78" t="s">
        <v>908</v>
      </c>
      <c r="B78" t="s">
        <v>909</v>
      </c>
      <c r="C78" s="1" t="s">
        <v>913</v>
      </c>
    </row>
    <row r="79" spans="1:10" ht="30">
      <c r="A79" t="s">
        <v>915</v>
      </c>
      <c r="B79" t="s">
        <v>916</v>
      </c>
      <c r="C79" s="1" t="s">
        <v>840</v>
      </c>
    </row>
    <row r="80" spans="1:10" ht="60">
      <c r="A80" t="s">
        <v>924</v>
      </c>
      <c r="B80" t="s">
        <v>925</v>
      </c>
      <c r="C80" s="1" t="s">
        <v>931</v>
      </c>
      <c r="D80" s="8" t="s">
        <v>1150</v>
      </c>
      <c r="F80" s="8" t="s">
        <v>1150</v>
      </c>
    </row>
    <row r="81" spans="1:10" ht="60">
      <c r="A81" t="s">
        <v>935</v>
      </c>
      <c r="B81" t="s">
        <v>936</v>
      </c>
      <c r="C81" s="1" t="s">
        <v>940</v>
      </c>
    </row>
    <row r="82" spans="1:10" ht="30">
      <c r="A82" t="s">
        <v>943</v>
      </c>
      <c r="B82" t="s">
        <v>944</v>
      </c>
      <c r="C82" s="1" t="s">
        <v>840</v>
      </c>
    </row>
    <row r="83" spans="1:10" ht="45">
      <c r="A83" t="s">
        <v>950</v>
      </c>
      <c r="B83" t="s">
        <v>951</v>
      </c>
      <c r="C83" s="1" t="s">
        <v>955</v>
      </c>
    </row>
    <row r="84" spans="1:10" ht="60">
      <c r="A84" t="s">
        <v>958</v>
      </c>
      <c r="B84" t="s">
        <v>959</v>
      </c>
      <c r="C84" s="1" t="s">
        <v>94</v>
      </c>
      <c r="D84" s="8" t="s">
        <v>1150</v>
      </c>
      <c r="F84" s="8" t="s">
        <v>1150</v>
      </c>
      <c r="J84" s="8" t="s">
        <v>1150</v>
      </c>
    </row>
    <row r="85" spans="1:10">
      <c r="A85" t="s">
        <v>964</v>
      </c>
      <c r="B85" t="s">
        <v>965</v>
      </c>
      <c r="C85" s="1" t="s">
        <v>438</v>
      </c>
    </row>
    <row r="86" spans="1:10" ht="75">
      <c r="A86" t="s">
        <v>971</v>
      </c>
      <c r="B86" t="s">
        <v>972</v>
      </c>
      <c r="C86" s="1" t="s">
        <v>978</v>
      </c>
      <c r="E86" s="8" t="s">
        <v>1150</v>
      </c>
    </row>
    <row r="87" spans="1:10" ht="60">
      <c r="A87" t="s">
        <v>982</v>
      </c>
      <c r="B87" t="s">
        <v>983</v>
      </c>
      <c r="C87" s="1" t="s">
        <v>988</v>
      </c>
      <c r="D87" s="8" t="s">
        <v>1150</v>
      </c>
      <c r="F87" s="8" t="s">
        <v>1150</v>
      </c>
      <c r="J87" s="8" t="s">
        <v>1150</v>
      </c>
    </row>
    <row r="88" spans="1:10" ht="30">
      <c r="A88" t="s">
        <v>991</v>
      </c>
      <c r="B88" t="s">
        <v>992</v>
      </c>
      <c r="C88" s="1" t="s">
        <v>998</v>
      </c>
    </row>
    <row r="89" spans="1:10" ht="30">
      <c r="A89" t="s">
        <v>1002</v>
      </c>
      <c r="B89" t="s">
        <v>1003</v>
      </c>
      <c r="C89" s="1" t="s">
        <v>1007</v>
      </c>
    </row>
    <row r="90" spans="1:10" ht="75">
      <c r="A90" t="s">
        <v>1009</v>
      </c>
      <c r="B90" t="s">
        <v>1010</v>
      </c>
      <c r="C90" s="1" t="s">
        <v>1016</v>
      </c>
      <c r="F90" s="8" t="s">
        <v>1150</v>
      </c>
    </row>
    <row r="91" spans="1:10" ht="90">
      <c r="A91" t="s">
        <v>1018</v>
      </c>
      <c r="B91" t="s">
        <v>1019</v>
      </c>
      <c r="C91" s="1" t="s">
        <v>1026</v>
      </c>
      <c r="E91" s="8" t="s">
        <v>1150</v>
      </c>
    </row>
    <row r="92" spans="1:10" ht="30">
      <c r="A92" t="s">
        <v>1030</v>
      </c>
      <c r="B92" t="s">
        <v>1031</v>
      </c>
      <c r="C92" s="1" t="s">
        <v>1007</v>
      </c>
    </row>
    <row r="93" spans="1:10" ht="30">
      <c r="A93" t="s">
        <v>1037</v>
      </c>
      <c r="B93" t="s">
        <v>1038</v>
      </c>
      <c r="C93" s="1" t="s">
        <v>840</v>
      </c>
    </row>
    <row r="94" spans="1:10" ht="75">
      <c r="A94" t="s">
        <v>1047</v>
      </c>
      <c r="B94" t="s">
        <v>1048</v>
      </c>
      <c r="C94" s="1" t="s">
        <v>1055</v>
      </c>
      <c r="D94" s="8" t="s">
        <v>1150</v>
      </c>
      <c r="E94" s="8" t="s">
        <v>1150</v>
      </c>
      <c r="F94" s="8" t="s">
        <v>1150</v>
      </c>
    </row>
    <row r="95" spans="1:10" ht="30">
      <c r="A95" t="s">
        <v>1058</v>
      </c>
      <c r="B95" t="s">
        <v>1059</v>
      </c>
      <c r="C95" s="1" t="s">
        <v>998</v>
      </c>
    </row>
    <row r="96" spans="1:10" ht="30">
      <c r="A96" t="s">
        <v>1067</v>
      </c>
      <c r="B96" t="s">
        <v>1068</v>
      </c>
      <c r="C96" s="1" t="s">
        <v>998</v>
      </c>
    </row>
    <row r="97" spans="1:13" ht="30">
      <c r="A97" t="s">
        <v>1072</v>
      </c>
      <c r="B97" t="s">
        <v>1073</v>
      </c>
      <c r="C97" s="1" t="s">
        <v>1077</v>
      </c>
    </row>
    <row r="98" spans="1:13" ht="30">
      <c r="A98" t="s">
        <v>1080</v>
      </c>
      <c r="B98" t="s">
        <v>1081</v>
      </c>
      <c r="C98" s="1" t="s">
        <v>998</v>
      </c>
    </row>
    <row r="99" spans="1:13" ht="60">
      <c r="A99" t="s">
        <v>1084</v>
      </c>
      <c r="B99" t="s">
        <v>1085</v>
      </c>
      <c r="C99" s="1" t="s">
        <v>1091</v>
      </c>
      <c r="M99" s="8" t="s">
        <v>1150</v>
      </c>
    </row>
    <row r="100" spans="1:13" ht="45">
      <c r="A100" t="s">
        <v>1093</v>
      </c>
      <c r="B100" t="s">
        <v>1094</v>
      </c>
      <c r="C100" s="1" t="s">
        <v>955</v>
      </c>
    </row>
    <row r="101" spans="1:13" ht="30">
      <c r="A101" t="s">
        <v>1100</v>
      </c>
      <c r="B101" t="s">
        <v>1101</v>
      </c>
      <c r="C101" s="1" t="s">
        <v>840</v>
      </c>
    </row>
    <row r="102" spans="1:13" ht="30">
      <c r="A102" t="s">
        <v>1107</v>
      </c>
      <c r="B102" t="s">
        <v>1108</v>
      </c>
      <c r="C102" s="1" t="s">
        <v>840</v>
      </c>
    </row>
    <row r="103" spans="1:13" ht="90">
      <c r="A103" t="s">
        <v>1114</v>
      </c>
      <c r="B103" t="s">
        <v>1115</v>
      </c>
      <c r="C103" s="1" t="s">
        <v>1121</v>
      </c>
      <c r="D103" s="8" t="s">
        <v>1150</v>
      </c>
      <c r="F103" s="8" t="s">
        <v>1150</v>
      </c>
    </row>
  </sheetData>
  <autoFilter ref="C1:D103" xr:uid="{4800A59E-C669-4E75-9656-BBA8EDFCF38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BA5C2-F440-4769-ADAD-0EDB9C3EFCC3}">
  <dimension ref="A1:C103"/>
  <sheetViews>
    <sheetView topLeftCell="A99" workbookViewId="0">
      <selection activeCell="B2" sqref="B2"/>
    </sheetView>
  </sheetViews>
  <sheetFormatPr defaultRowHeight="15"/>
  <cols>
    <col min="2" max="2" width="52" customWidth="1"/>
    <col min="3" max="3" width="111.5703125" style="1" customWidth="1"/>
  </cols>
  <sheetData>
    <row r="1" spans="1:3">
      <c r="A1" s="2" t="s">
        <v>0</v>
      </c>
      <c r="B1" s="2" t="s">
        <v>1</v>
      </c>
      <c r="C1" s="5" t="s">
        <v>1151</v>
      </c>
    </row>
    <row r="2" spans="1:3" ht="165">
      <c r="A2" t="s">
        <v>57</v>
      </c>
      <c r="B2" t="s">
        <v>58</v>
      </c>
      <c r="C2" s="1" t="s">
        <v>1152</v>
      </c>
    </row>
    <row r="3" spans="1:3" ht="90">
      <c r="A3" t="s">
        <v>73</v>
      </c>
      <c r="B3" t="s">
        <v>74</v>
      </c>
      <c r="C3" s="1" t="s">
        <v>1153</v>
      </c>
    </row>
    <row r="4" spans="1:3" ht="165">
      <c r="A4" t="s">
        <v>85</v>
      </c>
      <c r="B4" t="s">
        <v>86</v>
      </c>
      <c r="C4" s="1" t="s">
        <v>1154</v>
      </c>
    </row>
    <row r="5" spans="1:3" ht="240">
      <c r="A5" t="s">
        <v>99</v>
      </c>
      <c r="B5" t="s">
        <v>100</v>
      </c>
      <c r="C5" s="1" t="s">
        <v>1155</v>
      </c>
    </row>
    <row r="6" spans="1:3" ht="180">
      <c r="A6" t="s">
        <v>112</v>
      </c>
      <c r="B6" t="s">
        <v>113</v>
      </c>
      <c r="C6" s="1" t="s">
        <v>1156</v>
      </c>
    </row>
    <row r="7" spans="1:3" ht="165">
      <c r="A7" t="s">
        <v>124</v>
      </c>
      <c r="B7" t="s">
        <v>125</v>
      </c>
      <c r="C7" s="1" t="s">
        <v>1157</v>
      </c>
    </row>
    <row r="8" spans="1:3" ht="60">
      <c r="A8" t="s">
        <v>135</v>
      </c>
      <c r="B8" t="s">
        <v>136</v>
      </c>
      <c r="C8" s="1" t="s">
        <v>1158</v>
      </c>
    </row>
    <row r="9" spans="1:3" ht="45">
      <c r="A9" t="s">
        <v>147</v>
      </c>
      <c r="B9" t="s">
        <v>148</v>
      </c>
      <c r="C9" s="1" t="s">
        <v>1159</v>
      </c>
    </row>
    <row r="10" spans="1:3" ht="135">
      <c r="A10" t="s">
        <v>161</v>
      </c>
      <c r="B10" t="s">
        <v>162</v>
      </c>
      <c r="C10" s="1" t="s">
        <v>1160</v>
      </c>
    </row>
    <row r="11" spans="1:3" ht="105">
      <c r="A11" t="s">
        <v>172</v>
      </c>
      <c r="B11" t="s">
        <v>173</v>
      </c>
      <c r="C11" s="1" t="s">
        <v>1161</v>
      </c>
    </row>
    <row r="12" spans="1:3" ht="135">
      <c r="A12" t="s">
        <v>183</v>
      </c>
      <c r="B12" t="s">
        <v>184</v>
      </c>
      <c r="C12" s="1" t="s">
        <v>1162</v>
      </c>
    </row>
    <row r="13" spans="1:3" ht="45">
      <c r="A13" t="s">
        <v>195</v>
      </c>
      <c r="B13" t="s">
        <v>196</v>
      </c>
      <c r="C13" s="1" t="s">
        <v>1163</v>
      </c>
    </row>
    <row r="14" spans="1:3" ht="105">
      <c r="A14" t="s">
        <v>207</v>
      </c>
      <c r="B14" t="s">
        <v>208</v>
      </c>
      <c r="C14" s="1" t="s">
        <v>1164</v>
      </c>
    </row>
    <row r="15" spans="1:3" ht="60">
      <c r="A15" t="s">
        <v>218</v>
      </c>
      <c r="B15" t="s">
        <v>219</v>
      </c>
      <c r="C15" s="1" t="s">
        <v>1158</v>
      </c>
    </row>
    <row r="16" spans="1:3" ht="45">
      <c r="A16" t="s">
        <v>228</v>
      </c>
      <c r="B16" t="s">
        <v>229</v>
      </c>
      <c r="C16" s="1" t="s">
        <v>1165</v>
      </c>
    </row>
    <row r="17" spans="1:3" ht="60">
      <c r="A17" t="s">
        <v>241</v>
      </c>
      <c r="B17" t="s">
        <v>242</v>
      </c>
      <c r="C17" s="1" t="s">
        <v>1166</v>
      </c>
    </row>
    <row r="18" spans="1:3" ht="105">
      <c r="A18" t="s">
        <v>253</v>
      </c>
      <c r="B18" t="s">
        <v>254</v>
      </c>
      <c r="C18" s="1" t="s">
        <v>1167</v>
      </c>
    </row>
    <row r="19" spans="1:3" ht="120">
      <c r="A19" t="s">
        <v>264</v>
      </c>
      <c r="B19" t="s">
        <v>265</v>
      </c>
      <c r="C19" s="1" t="s">
        <v>1168</v>
      </c>
    </row>
    <row r="20" spans="1:3" ht="90">
      <c r="A20" t="s">
        <v>276</v>
      </c>
      <c r="B20" t="s">
        <v>277</v>
      </c>
      <c r="C20" s="1" t="s">
        <v>1169</v>
      </c>
    </row>
    <row r="21" spans="1:3" ht="90">
      <c r="A21" t="s">
        <v>287</v>
      </c>
      <c r="B21" t="s">
        <v>288</v>
      </c>
      <c r="C21" s="1" t="s">
        <v>1170</v>
      </c>
    </row>
    <row r="22" spans="1:3" ht="105">
      <c r="A22" t="s">
        <v>302</v>
      </c>
      <c r="B22" t="s">
        <v>303</v>
      </c>
      <c r="C22" s="1" t="s">
        <v>1171</v>
      </c>
    </row>
    <row r="23" spans="1:3" ht="120">
      <c r="A23" t="s">
        <v>313</v>
      </c>
      <c r="B23" t="s">
        <v>314</v>
      </c>
      <c r="C23" s="1" t="s">
        <v>1172</v>
      </c>
    </row>
    <row r="24" spans="1:3" ht="90">
      <c r="A24" t="s">
        <v>323</v>
      </c>
      <c r="B24" t="s">
        <v>324</v>
      </c>
      <c r="C24" s="1" t="s">
        <v>1173</v>
      </c>
    </row>
    <row r="25" spans="1:3" ht="105">
      <c r="A25" t="s">
        <v>334</v>
      </c>
      <c r="B25" t="s">
        <v>335</v>
      </c>
      <c r="C25" s="1" t="s">
        <v>1174</v>
      </c>
    </row>
    <row r="26" spans="1:3" ht="60">
      <c r="A26" t="s">
        <v>345</v>
      </c>
      <c r="B26" t="s">
        <v>346</v>
      </c>
      <c r="C26" s="1" t="s">
        <v>1175</v>
      </c>
    </row>
    <row r="27" spans="1:3" ht="180">
      <c r="A27" t="s">
        <v>357</v>
      </c>
      <c r="B27" t="s">
        <v>358</v>
      </c>
      <c r="C27" s="1" t="s">
        <v>1176</v>
      </c>
    </row>
    <row r="28" spans="1:3" ht="105">
      <c r="A28" t="s">
        <v>368</v>
      </c>
      <c r="B28" t="s">
        <v>369</v>
      </c>
      <c r="C28" s="1" t="s">
        <v>1177</v>
      </c>
    </row>
    <row r="29" spans="1:3" ht="60">
      <c r="A29" t="s">
        <v>379</v>
      </c>
      <c r="B29" t="s">
        <v>380</v>
      </c>
      <c r="C29" s="1" t="s">
        <v>1158</v>
      </c>
    </row>
    <row r="30" spans="1:3" ht="180">
      <c r="A30" t="s">
        <v>387</v>
      </c>
      <c r="B30" t="s">
        <v>388</v>
      </c>
      <c r="C30" s="1" t="s">
        <v>1178</v>
      </c>
    </row>
    <row r="31" spans="1:3" ht="30">
      <c r="A31" t="s">
        <v>396</v>
      </c>
      <c r="B31" t="s">
        <v>397</v>
      </c>
      <c r="C31" s="1" t="s">
        <v>1179</v>
      </c>
    </row>
    <row r="32" spans="1:3" ht="30">
      <c r="A32" t="s">
        <v>409</v>
      </c>
      <c r="B32" t="s">
        <v>410</v>
      </c>
      <c r="C32" s="1" t="s">
        <v>1180</v>
      </c>
    </row>
    <row r="33" spans="1:3" ht="60">
      <c r="A33" t="s">
        <v>421</v>
      </c>
      <c r="B33" t="s">
        <v>422</v>
      </c>
      <c r="C33" s="1" t="s">
        <v>1158</v>
      </c>
    </row>
    <row r="34" spans="1:3" ht="60">
      <c r="A34" t="s">
        <v>431</v>
      </c>
      <c r="B34" t="s">
        <v>432</v>
      </c>
      <c r="C34" s="1" t="s">
        <v>1181</v>
      </c>
    </row>
    <row r="35" spans="1:3" ht="90">
      <c r="A35" t="s">
        <v>442</v>
      </c>
      <c r="B35" t="s">
        <v>443</v>
      </c>
      <c r="C35" s="1" t="s">
        <v>1182</v>
      </c>
    </row>
    <row r="36" spans="1:3" ht="120">
      <c r="A36" t="s">
        <v>453</v>
      </c>
      <c r="B36" t="s">
        <v>454</v>
      </c>
      <c r="C36" s="1" t="s">
        <v>1183</v>
      </c>
    </row>
    <row r="37" spans="1:3" ht="105">
      <c r="A37" t="s">
        <v>464</v>
      </c>
      <c r="B37" t="s">
        <v>465</v>
      </c>
      <c r="C37" s="1" t="s">
        <v>1184</v>
      </c>
    </row>
    <row r="38" spans="1:3" ht="60">
      <c r="A38" t="s">
        <v>476</v>
      </c>
      <c r="B38" t="s">
        <v>477</v>
      </c>
      <c r="C38" s="1" t="s">
        <v>1185</v>
      </c>
    </row>
    <row r="39" spans="1:3" ht="90">
      <c r="A39" t="s">
        <v>483</v>
      </c>
      <c r="B39" t="s">
        <v>484</v>
      </c>
      <c r="C39" s="1" t="s">
        <v>1186</v>
      </c>
    </row>
    <row r="40" spans="1:3" ht="75">
      <c r="A40" t="s">
        <v>494</v>
      </c>
      <c r="B40" t="s">
        <v>495</v>
      </c>
      <c r="C40" s="1" t="s">
        <v>1187</v>
      </c>
    </row>
    <row r="41" spans="1:3" ht="120">
      <c r="A41" t="s">
        <v>507</v>
      </c>
      <c r="B41" t="s">
        <v>508</v>
      </c>
      <c r="C41" s="1" t="s">
        <v>1188</v>
      </c>
    </row>
    <row r="42" spans="1:3" ht="90">
      <c r="A42" t="s">
        <v>517</v>
      </c>
      <c r="B42" t="s">
        <v>518</v>
      </c>
      <c r="C42" s="1" t="s">
        <v>1189</v>
      </c>
    </row>
    <row r="43" spans="1:3" ht="105">
      <c r="A43" t="s">
        <v>526</v>
      </c>
      <c r="B43" t="s">
        <v>527</v>
      </c>
      <c r="C43" s="1" t="s">
        <v>1190</v>
      </c>
    </row>
    <row r="44" spans="1:3" ht="45">
      <c r="A44" t="s">
        <v>535</v>
      </c>
      <c r="B44" t="s">
        <v>536</v>
      </c>
      <c r="C44" s="1" t="s">
        <v>1191</v>
      </c>
    </row>
    <row r="45" spans="1:3" ht="105">
      <c r="A45" t="s">
        <v>548</v>
      </c>
      <c r="B45" t="s">
        <v>549</v>
      </c>
      <c r="C45" s="1" t="s">
        <v>1192</v>
      </c>
    </row>
    <row r="46" spans="1:3" ht="105">
      <c r="A46" t="s">
        <v>559</v>
      </c>
      <c r="B46" t="s">
        <v>560</v>
      </c>
      <c r="C46" s="1" t="s">
        <v>1193</v>
      </c>
    </row>
    <row r="47" spans="1:3" ht="105">
      <c r="A47" t="s">
        <v>570</v>
      </c>
      <c r="B47" t="s">
        <v>571</v>
      </c>
      <c r="C47" s="1" t="s">
        <v>1194</v>
      </c>
    </row>
    <row r="48" spans="1:3" ht="90">
      <c r="A48" t="s">
        <v>581</v>
      </c>
      <c r="B48" t="s">
        <v>582</v>
      </c>
      <c r="C48" s="1" t="s">
        <v>1195</v>
      </c>
    </row>
    <row r="49" spans="1:3" ht="105">
      <c r="A49" t="s">
        <v>591</v>
      </c>
      <c r="B49" t="s">
        <v>592</v>
      </c>
      <c r="C49" s="1" t="s">
        <v>1196</v>
      </c>
    </row>
    <row r="50" spans="1:3" ht="105">
      <c r="A50" t="s">
        <v>602</v>
      </c>
      <c r="B50" t="s">
        <v>603</v>
      </c>
      <c r="C50" s="1" t="s">
        <v>1174</v>
      </c>
    </row>
    <row r="51" spans="1:3" ht="45">
      <c r="A51" t="s">
        <v>611</v>
      </c>
      <c r="B51" t="s">
        <v>612</v>
      </c>
      <c r="C51" s="1" t="s">
        <v>1197</v>
      </c>
    </row>
    <row r="52" spans="1:3" ht="105">
      <c r="A52" t="s">
        <v>623</v>
      </c>
      <c r="B52" t="s">
        <v>624</v>
      </c>
      <c r="C52" s="1" t="s">
        <v>1198</v>
      </c>
    </row>
    <row r="53" spans="1:3" ht="105">
      <c r="A53" t="s">
        <v>631</v>
      </c>
      <c r="B53" t="s">
        <v>632</v>
      </c>
      <c r="C53" s="1" t="s">
        <v>1199</v>
      </c>
    </row>
    <row r="54" spans="1:3" ht="105">
      <c r="A54" t="s">
        <v>642</v>
      </c>
      <c r="B54" t="s">
        <v>643</v>
      </c>
      <c r="C54" s="1" t="s">
        <v>1200</v>
      </c>
    </row>
    <row r="55" spans="1:3" ht="90">
      <c r="A55" t="s">
        <v>654</v>
      </c>
      <c r="B55" t="s">
        <v>655</v>
      </c>
      <c r="C55" s="1" t="s">
        <v>1201</v>
      </c>
    </row>
    <row r="56" spans="1:3" ht="90">
      <c r="A56" t="s">
        <v>666</v>
      </c>
      <c r="B56" t="s">
        <v>667</v>
      </c>
      <c r="C56" s="1" t="s">
        <v>1202</v>
      </c>
    </row>
    <row r="57" spans="1:3" ht="120">
      <c r="A57" t="s">
        <v>678</v>
      </c>
      <c r="B57" t="s">
        <v>679</v>
      </c>
      <c r="C57" s="1" t="s">
        <v>1203</v>
      </c>
    </row>
    <row r="58" spans="1:3" ht="105">
      <c r="A58" t="s">
        <v>686</v>
      </c>
      <c r="B58" t="s">
        <v>687</v>
      </c>
      <c r="C58" s="1" t="s">
        <v>1204</v>
      </c>
    </row>
    <row r="59" spans="1:3" ht="105">
      <c r="A59" t="s">
        <v>698</v>
      </c>
      <c r="B59" t="s">
        <v>699</v>
      </c>
      <c r="C59" s="1" t="s">
        <v>1205</v>
      </c>
    </row>
    <row r="60" spans="1:3" ht="90">
      <c r="A60" t="s">
        <v>709</v>
      </c>
      <c r="B60" t="s">
        <v>710</v>
      </c>
      <c r="C60" s="1" t="s">
        <v>1206</v>
      </c>
    </row>
    <row r="61" spans="1:3" ht="105">
      <c r="A61" t="s">
        <v>720</v>
      </c>
      <c r="B61" t="s">
        <v>721</v>
      </c>
      <c r="C61" s="1" t="s">
        <v>1207</v>
      </c>
    </row>
    <row r="62" spans="1:3" ht="120">
      <c r="A62" t="s">
        <v>731</v>
      </c>
      <c r="B62" t="s">
        <v>732</v>
      </c>
      <c r="C62" s="1" t="s">
        <v>1208</v>
      </c>
    </row>
    <row r="63" spans="1:3" ht="105">
      <c r="A63" t="s">
        <v>743</v>
      </c>
      <c r="B63" t="s">
        <v>744</v>
      </c>
      <c r="C63" s="1" t="s">
        <v>1209</v>
      </c>
    </row>
    <row r="64" spans="1:3" ht="105">
      <c r="A64" t="s">
        <v>754</v>
      </c>
      <c r="B64" t="s">
        <v>755</v>
      </c>
      <c r="C64" s="1" t="s">
        <v>1210</v>
      </c>
    </row>
    <row r="65" spans="1:3" ht="90">
      <c r="A65" t="s">
        <v>765</v>
      </c>
      <c r="B65" t="s">
        <v>766</v>
      </c>
      <c r="C65" s="1" t="s">
        <v>1211</v>
      </c>
    </row>
    <row r="66" spans="1:3" ht="90">
      <c r="A66" t="s">
        <v>778</v>
      </c>
      <c r="B66" t="s">
        <v>779</v>
      </c>
      <c r="C66" s="1" t="s">
        <v>1212</v>
      </c>
    </row>
    <row r="67" spans="1:3" ht="60">
      <c r="A67" t="s">
        <v>791</v>
      </c>
      <c r="B67" t="s">
        <v>792</v>
      </c>
      <c r="C67" s="1" t="s">
        <v>1185</v>
      </c>
    </row>
    <row r="68" spans="1:3" ht="105">
      <c r="A68" t="s">
        <v>799</v>
      </c>
      <c r="B68" t="s">
        <v>800</v>
      </c>
      <c r="C68" s="1" t="s">
        <v>1213</v>
      </c>
    </row>
    <row r="69" spans="1:3" ht="165">
      <c r="A69" t="s">
        <v>811</v>
      </c>
      <c r="B69" t="s">
        <v>812</v>
      </c>
      <c r="C69" s="1" t="s">
        <v>1214</v>
      </c>
    </row>
    <row r="70" spans="1:3" ht="135">
      <c r="A70" t="s">
        <v>821</v>
      </c>
      <c r="B70" t="s">
        <v>822</v>
      </c>
      <c r="C70" s="1" t="s">
        <v>1215</v>
      </c>
    </row>
    <row r="71" spans="1:3" ht="195">
      <c r="A71" t="s">
        <v>833</v>
      </c>
      <c r="B71" t="s">
        <v>834</v>
      </c>
      <c r="C71" s="1" t="s">
        <v>1216</v>
      </c>
    </row>
    <row r="72" spans="1:3" ht="90">
      <c r="A72" t="s">
        <v>844</v>
      </c>
      <c r="B72" t="s">
        <v>845</v>
      </c>
      <c r="C72" s="1" t="s">
        <v>1217</v>
      </c>
    </row>
    <row r="73" spans="1:3" ht="120">
      <c r="A73" t="s">
        <v>855</v>
      </c>
      <c r="B73" t="s">
        <v>856</v>
      </c>
      <c r="C73" s="1" t="s">
        <v>1218</v>
      </c>
    </row>
    <row r="74" spans="1:3" ht="60">
      <c r="A74" t="s">
        <v>867</v>
      </c>
      <c r="B74" t="s">
        <v>868</v>
      </c>
      <c r="C74" s="1" t="s">
        <v>1175</v>
      </c>
    </row>
    <row r="75" spans="1:3" ht="105">
      <c r="A75" t="s">
        <v>876</v>
      </c>
      <c r="B75" t="s">
        <v>877</v>
      </c>
      <c r="C75" s="1" t="s">
        <v>1219</v>
      </c>
    </row>
    <row r="76" spans="1:3" ht="105">
      <c r="A76" t="s">
        <v>887</v>
      </c>
      <c r="B76" t="s">
        <v>888</v>
      </c>
      <c r="C76" s="1" t="s">
        <v>1220</v>
      </c>
    </row>
    <row r="77" spans="1:3" ht="105">
      <c r="A77" t="s">
        <v>899</v>
      </c>
      <c r="B77" t="s">
        <v>900</v>
      </c>
      <c r="C77" s="1" t="s">
        <v>1221</v>
      </c>
    </row>
    <row r="78" spans="1:3" ht="135">
      <c r="A78" t="s">
        <v>908</v>
      </c>
      <c r="B78" t="s">
        <v>909</v>
      </c>
      <c r="C78" s="1" t="s">
        <v>1215</v>
      </c>
    </row>
    <row r="79" spans="1:3" ht="195">
      <c r="A79" t="s">
        <v>915</v>
      </c>
      <c r="B79" t="s">
        <v>916</v>
      </c>
      <c r="C79" s="1" t="s">
        <v>1222</v>
      </c>
    </row>
    <row r="80" spans="1:3" ht="105">
      <c r="A80" t="s">
        <v>924</v>
      </c>
      <c r="B80" t="s">
        <v>925</v>
      </c>
      <c r="C80" s="1" t="s">
        <v>1223</v>
      </c>
    </row>
    <row r="81" spans="1:3" ht="165">
      <c r="A81" t="s">
        <v>935</v>
      </c>
      <c r="B81" t="s">
        <v>936</v>
      </c>
      <c r="C81" s="1" t="s">
        <v>1224</v>
      </c>
    </row>
    <row r="82" spans="1:3" ht="195">
      <c r="A82" t="s">
        <v>943</v>
      </c>
      <c r="B82" t="s">
        <v>944</v>
      </c>
      <c r="C82" s="1" t="s">
        <v>1216</v>
      </c>
    </row>
    <row r="83" spans="1:3" ht="150">
      <c r="A83" t="s">
        <v>950</v>
      </c>
      <c r="B83" t="s">
        <v>951</v>
      </c>
      <c r="C83" s="1" t="s">
        <v>1225</v>
      </c>
    </row>
    <row r="84" spans="1:3" ht="105">
      <c r="A84" t="s">
        <v>958</v>
      </c>
      <c r="B84" t="s">
        <v>959</v>
      </c>
      <c r="C84" s="1" t="s">
        <v>1200</v>
      </c>
    </row>
    <row r="85" spans="1:3" ht="60">
      <c r="A85" t="s">
        <v>964</v>
      </c>
      <c r="B85" t="s">
        <v>965</v>
      </c>
      <c r="C85" s="1" t="s">
        <v>1185</v>
      </c>
    </row>
    <row r="86" spans="1:3" ht="210">
      <c r="A86" t="s">
        <v>971</v>
      </c>
      <c r="B86" t="s">
        <v>972</v>
      </c>
      <c r="C86" s="1" t="s">
        <v>1226</v>
      </c>
    </row>
    <row r="87" spans="1:3" ht="105">
      <c r="A87" t="s">
        <v>982</v>
      </c>
      <c r="B87" t="s">
        <v>983</v>
      </c>
      <c r="C87" s="1" t="s">
        <v>1227</v>
      </c>
    </row>
    <row r="88" spans="1:3" ht="120">
      <c r="A88" t="s">
        <v>991</v>
      </c>
      <c r="B88" t="s">
        <v>992</v>
      </c>
      <c r="C88" s="1" t="s">
        <v>1228</v>
      </c>
    </row>
    <row r="89" spans="1:3" ht="150">
      <c r="A89" t="s">
        <v>1002</v>
      </c>
      <c r="B89" t="s">
        <v>1003</v>
      </c>
      <c r="C89" s="1" t="s">
        <v>1225</v>
      </c>
    </row>
    <row r="90" spans="1:3" ht="105">
      <c r="A90" t="s">
        <v>1009</v>
      </c>
      <c r="B90" t="s">
        <v>1010</v>
      </c>
      <c r="C90" s="1" t="s">
        <v>1227</v>
      </c>
    </row>
    <row r="91" spans="1:3" ht="120">
      <c r="A91" t="s">
        <v>1018</v>
      </c>
      <c r="B91" t="s">
        <v>1019</v>
      </c>
      <c r="C91" s="1" t="s">
        <v>1229</v>
      </c>
    </row>
    <row r="92" spans="1:3" ht="120">
      <c r="A92" t="s">
        <v>1030</v>
      </c>
      <c r="B92" t="s">
        <v>1031</v>
      </c>
      <c r="C92" s="1" t="s">
        <v>1230</v>
      </c>
    </row>
    <row r="93" spans="1:3" ht="75">
      <c r="A93" t="s">
        <v>1037</v>
      </c>
      <c r="B93" t="s">
        <v>1038</v>
      </c>
      <c r="C93" s="1" t="s">
        <v>1231</v>
      </c>
    </row>
    <row r="94" spans="1:3" ht="105">
      <c r="A94" t="s">
        <v>1047</v>
      </c>
      <c r="B94" t="s">
        <v>1048</v>
      </c>
      <c r="C94" s="1" t="s">
        <v>1232</v>
      </c>
    </row>
    <row r="95" spans="1:3" ht="120">
      <c r="A95" t="s">
        <v>1058</v>
      </c>
      <c r="B95" t="s">
        <v>1059</v>
      </c>
      <c r="C95" s="1" t="s">
        <v>1233</v>
      </c>
    </row>
    <row r="96" spans="1:3" ht="120">
      <c r="A96" t="s">
        <v>1067</v>
      </c>
      <c r="B96" t="s">
        <v>1068</v>
      </c>
      <c r="C96" s="1" t="s">
        <v>1233</v>
      </c>
    </row>
    <row r="97" spans="1:3" ht="120">
      <c r="A97" t="s">
        <v>1072</v>
      </c>
      <c r="B97" t="s">
        <v>1073</v>
      </c>
      <c r="C97" s="1" t="s">
        <v>1234</v>
      </c>
    </row>
    <row r="98" spans="1:3" ht="120">
      <c r="A98" t="s">
        <v>1080</v>
      </c>
      <c r="B98" t="s">
        <v>1081</v>
      </c>
      <c r="C98" s="1" t="s">
        <v>1233</v>
      </c>
    </row>
    <row r="99" spans="1:3" ht="90">
      <c r="A99" t="s">
        <v>1084</v>
      </c>
      <c r="B99" t="s">
        <v>1085</v>
      </c>
      <c r="C99" s="1" t="s">
        <v>1170</v>
      </c>
    </row>
    <row r="100" spans="1:3" ht="120">
      <c r="A100" t="s">
        <v>1093</v>
      </c>
      <c r="B100" t="s">
        <v>1094</v>
      </c>
      <c r="C100" s="1" t="s">
        <v>1235</v>
      </c>
    </row>
    <row r="101" spans="1:3" ht="75">
      <c r="A101" t="s">
        <v>1100</v>
      </c>
      <c r="B101" t="s">
        <v>1101</v>
      </c>
      <c r="C101" s="1" t="s">
        <v>1231</v>
      </c>
    </row>
    <row r="102" spans="1:3" ht="75">
      <c r="A102" t="s">
        <v>1107</v>
      </c>
      <c r="B102" t="s">
        <v>1108</v>
      </c>
      <c r="C102" s="1" t="s">
        <v>1231</v>
      </c>
    </row>
    <row r="103" spans="1:3" ht="105">
      <c r="A103" t="s">
        <v>1114</v>
      </c>
      <c r="B103" t="s">
        <v>1115</v>
      </c>
      <c r="C103" s="1" t="s">
        <v>1236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2024-12-20T12:19:24Z</dcterms:created>
  <dcterms:modified xsi:type="dcterms:W3CDTF">2026-07-07T07:16:41Z</dcterms:modified>
  <cp:category/>
  <cp:contentStatus/>
</cp:coreProperties>
</file>